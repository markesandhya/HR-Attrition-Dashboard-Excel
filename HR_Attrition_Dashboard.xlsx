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G:\My Drive\My Excel\"/>
    </mc:Choice>
  </mc:AlternateContent>
  <xr:revisionPtr revIDLastSave="0" documentId="13_ncr:1_{ECD72839-0953-436D-BE14-2097B64E6384}" xr6:coauthVersionLast="47" xr6:coauthVersionMax="47" xr10:uidLastSave="{00000000-0000-0000-0000-000000000000}"/>
  <bookViews>
    <workbookView xWindow="-60" yWindow="130" windowWidth="16280" windowHeight="12740" tabRatio="500" firstSheet="5" activeTab="7" xr2:uid="{00000000-000D-0000-FFFF-FFFF00000000}"/>
  </bookViews>
  <sheets>
    <sheet name="RawData" sheetId="2" r:id="rId1"/>
    <sheet name="PivotTable1" sheetId="5" r:id="rId2"/>
    <sheet name="PivotTable2" sheetId="6" r:id="rId3"/>
    <sheet name="PivotTable3" sheetId="8" r:id="rId4"/>
    <sheet name="PivotTable4" sheetId="9" r:id="rId5"/>
    <sheet name="PivotTable5" sheetId="11" r:id="rId6"/>
    <sheet name="PivotTable7" sheetId="17" r:id="rId7"/>
    <sheet name="Dashboard" sheetId="7" r:id="rId8"/>
  </sheets>
  <definedNames>
    <definedName name="Slicer_Department">#N/A</definedName>
    <definedName name="Slicer_Gender">#N/A</definedName>
    <definedName name="Slicer_JobSatisfaction">#N/A</definedName>
    <definedName name="Slicer_OverTime">#N/A</definedName>
  </definedNames>
  <calcPr calcId="191029" iterateDelta="1E-4"/>
  <pivotCaches>
    <pivotCache cacheId="14"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8" i="17" l="1"/>
  <c r="E8" i="17"/>
  <c r="E7" i="17"/>
  <c r="G6" i="7"/>
  <c r="C6" i="7"/>
  <c r="Q1201" i="2"/>
  <c r="P1201" i="2"/>
  <c r="Q1200" i="2"/>
  <c r="P1200" i="2"/>
  <c r="Q1199" i="2"/>
  <c r="P1199" i="2"/>
  <c r="Q1198" i="2"/>
  <c r="P1198" i="2"/>
  <c r="Q1197" i="2"/>
  <c r="P1197" i="2"/>
  <c r="Q1196" i="2"/>
  <c r="P1196" i="2"/>
  <c r="Q1195" i="2"/>
  <c r="P1195" i="2"/>
  <c r="Q1194" i="2"/>
  <c r="P1194" i="2"/>
  <c r="Q1193" i="2"/>
  <c r="P1193" i="2"/>
  <c r="Q1192" i="2"/>
  <c r="P1192" i="2"/>
  <c r="Q1191" i="2"/>
  <c r="P1191" i="2"/>
  <c r="Q1190" i="2"/>
  <c r="P1190" i="2"/>
  <c r="Q1189" i="2"/>
  <c r="P1189" i="2"/>
  <c r="Q1188" i="2"/>
  <c r="P1188" i="2"/>
  <c r="Q1187" i="2"/>
  <c r="P1187" i="2"/>
  <c r="Q1186" i="2"/>
  <c r="P1186" i="2"/>
  <c r="Q1185" i="2"/>
  <c r="P1185" i="2"/>
  <c r="Q1184" i="2"/>
  <c r="P1184" i="2"/>
  <c r="Q1183" i="2"/>
  <c r="P1183" i="2"/>
  <c r="Q1182" i="2"/>
  <c r="P1182" i="2"/>
  <c r="Q1181" i="2"/>
  <c r="P1181" i="2"/>
  <c r="Q1180" i="2"/>
  <c r="P1180" i="2"/>
  <c r="Q1179" i="2"/>
  <c r="P1179" i="2"/>
  <c r="Q1178" i="2"/>
  <c r="P1178" i="2"/>
  <c r="Q1177" i="2"/>
  <c r="P1177" i="2"/>
  <c r="Q1176" i="2"/>
  <c r="P1176" i="2"/>
  <c r="Q1175" i="2"/>
  <c r="P1175" i="2"/>
  <c r="Q1174" i="2"/>
  <c r="P1174" i="2"/>
  <c r="Q1173" i="2"/>
  <c r="P1173" i="2"/>
  <c r="Q1172" i="2"/>
  <c r="P1172" i="2"/>
  <c r="Q1171" i="2"/>
  <c r="P1171" i="2"/>
  <c r="Q1170" i="2"/>
  <c r="P1170" i="2"/>
  <c r="Q1169" i="2"/>
  <c r="P1169" i="2"/>
  <c r="Q1168" i="2"/>
  <c r="P1168" i="2"/>
  <c r="Q1167" i="2"/>
  <c r="P1167" i="2"/>
  <c r="Q1166" i="2"/>
  <c r="P1166" i="2"/>
  <c r="Q1165" i="2"/>
  <c r="P1165" i="2"/>
  <c r="Q1164" i="2"/>
  <c r="P1164" i="2"/>
  <c r="Q1163" i="2"/>
  <c r="P1163" i="2"/>
  <c r="Q1162" i="2"/>
  <c r="P1162" i="2"/>
  <c r="Q1161" i="2"/>
  <c r="P1161" i="2"/>
  <c r="Q1160" i="2"/>
  <c r="P1160" i="2"/>
  <c r="Q1159" i="2"/>
  <c r="P1159" i="2"/>
  <c r="Q1158" i="2"/>
  <c r="P1158" i="2"/>
  <c r="Q1157" i="2"/>
  <c r="P1157" i="2"/>
  <c r="Q1156" i="2"/>
  <c r="P1156" i="2"/>
  <c r="Q1155" i="2"/>
  <c r="P1155" i="2"/>
  <c r="Q1154" i="2"/>
  <c r="P1154" i="2"/>
  <c r="Q1153" i="2"/>
  <c r="P1153" i="2"/>
  <c r="Q1152" i="2"/>
  <c r="P1152" i="2"/>
  <c r="Q1151" i="2"/>
  <c r="P1151" i="2"/>
  <c r="Q1150" i="2"/>
  <c r="P1150" i="2"/>
  <c r="Q1149" i="2"/>
  <c r="P1149" i="2"/>
  <c r="Q1148" i="2"/>
  <c r="P1148" i="2"/>
  <c r="Q1147" i="2"/>
  <c r="P1147" i="2"/>
  <c r="Q1146" i="2"/>
  <c r="P1146" i="2"/>
  <c r="Q1145" i="2"/>
  <c r="P1145" i="2"/>
  <c r="Q1144" i="2"/>
  <c r="P1144" i="2"/>
  <c r="Q1143" i="2"/>
  <c r="P1143" i="2"/>
  <c r="Q1142" i="2"/>
  <c r="P1142" i="2"/>
  <c r="Q1141" i="2"/>
  <c r="P1141" i="2"/>
  <c r="Q1140" i="2"/>
  <c r="P1140" i="2"/>
  <c r="Q1139" i="2"/>
  <c r="P1139" i="2"/>
  <c r="Q1138" i="2"/>
  <c r="P1138" i="2"/>
  <c r="Q1137" i="2"/>
  <c r="P1137" i="2"/>
  <c r="Q1136" i="2"/>
  <c r="P1136" i="2"/>
  <c r="Q1135" i="2"/>
  <c r="P1135" i="2"/>
  <c r="Q1134" i="2"/>
  <c r="P1134" i="2"/>
  <c r="Q1133" i="2"/>
  <c r="P1133" i="2"/>
  <c r="Q1132" i="2"/>
  <c r="P1132" i="2"/>
  <c r="Q1131" i="2"/>
  <c r="P1131" i="2"/>
  <c r="Q1130" i="2"/>
  <c r="P1130" i="2"/>
  <c r="Q1129" i="2"/>
  <c r="P1129" i="2"/>
  <c r="Q1128" i="2"/>
  <c r="P1128" i="2"/>
  <c r="Q1127" i="2"/>
  <c r="P1127" i="2"/>
  <c r="Q1126" i="2"/>
  <c r="P1126" i="2"/>
  <c r="Q1125" i="2"/>
  <c r="P1125" i="2"/>
  <c r="Q1124" i="2"/>
  <c r="P1124" i="2"/>
  <c r="Q1123" i="2"/>
  <c r="P1123" i="2"/>
  <c r="Q1122" i="2"/>
  <c r="P1122" i="2"/>
  <c r="Q1121" i="2"/>
  <c r="P1121" i="2"/>
  <c r="Q1120" i="2"/>
  <c r="P1120" i="2"/>
  <c r="Q1119" i="2"/>
  <c r="P1119" i="2"/>
  <c r="Q1118" i="2"/>
  <c r="P1118" i="2"/>
  <c r="Q1117" i="2"/>
  <c r="P1117" i="2"/>
  <c r="Q1116" i="2"/>
  <c r="P1116" i="2"/>
  <c r="Q1115" i="2"/>
  <c r="P1115" i="2"/>
  <c r="Q1114" i="2"/>
  <c r="P1114" i="2"/>
  <c r="Q1113" i="2"/>
  <c r="P1113" i="2"/>
  <c r="Q1112" i="2"/>
  <c r="P1112" i="2"/>
  <c r="Q1111" i="2"/>
  <c r="P1111" i="2"/>
  <c r="Q1110" i="2"/>
  <c r="P1110" i="2"/>
  <c r="Q1109" i="2"/>
  <c r="P1109" i="2"/>
  <c r="Q1108" i="2"/>
  <c r="P1108" i="2"/>
  <c r="Q1107" i="2"/>
  <c r="P1107" i="2"/>
  <c r="Q1106" i="2"/>
  <c r="P1106" i="2"/>
  <c r="Q1105" i="2"/>
  <c r="P1105" i="2"/>
  <c r="Q1104" i="2"/>
  <c r="P1104" i="2"/>
  <c r="Q1103" i="2"/>
  <c r="P1103" i="2"/>
  <c r="Q1102" i="2"/>
  <c r="P1102" i="2"/>
  <c r="Q1101" i="2"/>
  <c r="P1101" i="2"/>
  <c r="Q1100" i="2"/>
  <c r="P1100" i="2"/>
  <c r="Q1099" i="2"/>
  <c r="P1099" i="2"/>
  <c r="Q1098" i="2"/>
  <c r="P1098" i="2"/>
  <c r="Q1097" i="2"/>
  <c r="P1097" i="2"/>
  <c r="Q1096" i="2"/>
  <c r="P1096" i="2"/>
  <c r="Q1095" i="2"/>
  <c r="P1095" i="2"/>
  <c r="Q1094" i="2"/>
  <c r="P1094" i="2"/>
  <c r="Q1093" i="2"/>
  <c r="P1093" i="2"/>
  <c r="Q1092" i="2"/>
  <c r="P1092" i="2"/>
  <c r="Q1091" i="2"/>
  <c r="P1091" i="2"/>
  <c r="Q1090" i="2"/>
  <c r="P1090" i="2"/>
  <c r="Q1089" i="2"/>
  <c r="P1089" i="2"/>
  <c r="Q1088" i="2"/>
  <c r="P1088" i="2"/>
  <c r="Q1087" i="2"/>
  <c r="P1087" i="2"/>
  <c r="Q1086" i="2"/>
  <c r="P1086" i="2"/>
  <c r="Q1085" i="2"/>
  <c r="P1085" i="2"/>
  <c r="Q1084" i="2"/>
  <c r="P1084" i="2"/>
  <c r="Q1083" i="2"/>
  <c r="P1083" i="2"/>
  <c r="Q1082" i="2"/>
  <c r="P1082" i="2"/>
  <c r="Q1081" i="2"/>
  <c r="P1081" i="2"/>
  <c r="Q1080" i="2"/>
  <c r="P1080" i="2"/>
  <c r="Q1079" i="2"/>
  <c r="P1079" i="2"/>
  <c r="Q1078" i="2"/>
  <c r="P1078" i="2"/>
  <c r="Q1077" i="2"/>
  <c r="P1077" i="2"/>
  <c r="Q1076" i="2"/>
  <c r="P1076" i="2"/>
  <c r="Q1075" i="2"/>
  <c r="P1075" i="2"/>
  <c r="Q1074" i="2"/>
  <c r="P1074" i="2"/>
  <c r="Q1073" i="2"/>
  <c r="P1073" i="2"/>
  <c r="Q1072" i="2"/>
  <c r="P1072" i="2"/>
  <c r="Q1071" i="2"/>
  <c r="P1071" i="2"/>
  <c r="Q1070" i="2"/>
  <c r="P1070" i="2"/>
  <c r="Q1069" i="2"/>
  <c r="P1069" i="2"/>
  <c r="Q1068" i="2"/>
  <c r="P1068" i="2"/>
  <c r="Q1067" i="2"/>
  <c r="P1067" i="2"/>
  <c r="Q1066" i="2"/>
  <c r="P1066" i="2"/>
  <c r="Q1065" i="2"/>
  <c r="P1065" i="2"/>
  <c r="Q1064" i="2"/>
  <c r="P1064" i="2"/>
  <c r="Q1063" i="2"/>
  <c r="P1063" i="2"/>
  <c r="Q1062" i="2"/>
  <c r="P1062" i="2"/>
  <c r="Q1061" i="2"/>
  <c r="P1061" i="2"/>
  <c r="Q1060" i="2"/>
  <c r="P1060" i="2"/>
  <c r="Q1059" i="2"/>
  <c r="P1059" i="2"/>
  <c r="Q1058" i="2"/>
  <c r="P1058" i="2"/>
  <c r="Q1057" i="2"/>
  <c r="P1057" i="2"/>
  <c r="Q1056" i="2"/>
  <c r="P1056" i="2"/>
  <c r="Q1055" i="2"/>
  <c r="P1055" i="2"/>
  <c r="Q1054" i="2"/>
  <c r="P1054" i="2"/>
  <c r="Q1053" i="2"/>
  <c r="P1053" i="2"/>
  <c r="Q1052" i="2"/>
  <c r="P1052" i="2"/>
  <c r="Q1051" i="2"/>
  <c r="P1051" i="2"/>
  <c r="Q1050" i="2"/>
  <c r="P1050" i="2"/>
  <c r="Q1049" i="2"/>
  <c r="P1049" i="2"/>
  <c r="Q1048" i="2"/>
  <c r="P1048" i="2"/>
  <c r="Q1047" i="2"/>
  <c r="P1047" i="2"/>
  <c r="Q1046" i="2"/>
  <c r="P1046" i="2"/>
  <c r="Q1045" i="2"/>
  <c r="P1045" i="2"/>
  <c r="Q1044" i="2"/>
  <c r="P1044" i="2"/>
  <c r="Q1043" i="2"/>
  <c r="P1043" i="2"/>
  <c r="Q1042" i="2"/>
  <c r="P1042" i="2"/>
  <c r="Q1041" i="2"/>
  <c r="P1041" i="2"/>
  <c r="Q1040" i="2"/>
  <c r="P1040" i="2"/>
  <c r="Q1039" i="2"/>
  <c r="P1039" i="2"/>
  <c r="Q1038" i="2"/>
  <c r="P1038" i="2"/>
  <c r="Q1037" i="2"/>
  <c r="P1037" i="2"/>
  <c r="Q1036" i="2"/>
  <c r="P1036" i="2"/>
  <c r="Q1035" i="2"/>
  <c r="P1035" i="2"/>
  <c r="Q1034" i="2"/>
  <c r="P1034" i="2"/>
  <c r="Q1033" i="2"/>
  <c r="P1033" i="2"/>
  <c r="Q1032" i="2"/>
  <c r="P1032" i="2"/>
  <c r="Q1031" i="2"/>
  <c r="P1031" i="2"/>
  <c r="Q1030" i="2"/>
  <c r="P1030" i="2"/>
  <c r="Q1029" i="2"/>
  <c r="P1029" i="2"/>
  <c r="Q1028" i="2"/>
  <c r="P1028" i="2"/>
  <c r="Q1027" i="2"/>
  <c r="P1027" i="2"/>
  <c r="Q1026" i="2"/>
  <c r="P1026" i="2"/>
  <c r="Q1025" i="2"/>
  <c r="P1025" i="2"/>
  <c r="Q1024" i="2"/>
  <c r="P1024" i="2"/>
  <c r="Q1023" i="2"/>
  <c r="P1023" i="2"/>
  <c r="Q1022" i="2"/>
  <c r="P1022" i="2"/>
  <c r="Q1021" i="2"/>
  <c r="P1021" i="2"/>
  <c r="Q1020" i="2"/>
  <c r="P1020" i="2"/>
  <c r="Q1019" i="2"/>
  <c r="P1019" i="2"/>
  <c r="Q1018" i="2"/>
  <c r="P1018" i="2"/>
  <c r="Q1017" i="2"/>
  <c r="P1017" i="2"/>
  <c r="Q1016" i="2"/>
  <c r="P1016" i="2"/>
  <c r="Q1015" i="2"/>
  <c r="P1015" i="2"/>
  <c r="Q1014" i="2"/>
  <c r="P1014" i="2"/>
  <c r="Q1013" i="2"/>
  <c r="P1013" i="2"/>
  <c r="Q1012" i="2"/>
  <c r="P1012" i="2"/>
  <c r="Q1011" i="2"/>
  <c r="P1011" i="2"/>
  <c r="Q1010" i="2"/>
  <c r="P1010" i="2"/>
  <c r="Q1009" i="2"/>
  <c r="P1009" i="2"/>
  <c r="Q1008" i="2"/>
  <c r="P1008" i="2"/>
  <c r="Q1007" i="2"/>
  <c r="P1007" i="2"/>
  <c r="Q1006" i="2"/>
  <c r="P1006" i="2"/>
  <c r="Q1005" i="2"/>
  <c r="P1005" i="2"/>
  <c r="Q1004" i="2"/>
  <c r="P1004" i="2"/>
  <c r="Q1003" i="2"/>
  <c r="P1003" i="2"/>
  <c r="Q1002" i="2"/>
  <c r="P1002" i="2"/>
  <c r="Q1001" i="2"/>
  <c r="P1001" i="2"/>
  <c r="Q1000" i="2"/>
  <c r="P1000" i="2"/>
  <c r="Q999" i="2"/>
  <c r="P999" i="2"/>
  <c r="Q998" i="2"/>
  <c r="P998" i="2"/>
  <c r="Q997" i="2"/>
  <c r="P997" i="2"/>
  <c r="Q996" i="2"/>
  <c r="P996" i="2"/>
  <c r="Q995" i="2"/>
  <c r="P995" i="2"/>
  <c r="Q994" i="2"/>
  <c r="P994" i="2"/>
  <c r="Q993" i="2"/>
  <c r="P993" i="2"/>
  <c r="Q992" i="2"/>
  <c r="P992" i="2"/>
  <c r="Q991" i="2"/>
  <c r="P991" i="2"/>
  <c r="Q990" i="2"/>
  <c r="P990" i="2"/>
  <c r="Q989" i="2"/>
  <c r="P989" i="2"/>
  <c r="Q988" i="2"/>
  <c r="P988" i="2"/>
  <c r="Q987" i="2"/>
  <c r="P987" i="2"/>
  <c r="Q986" i="2"/>
  <c r="P986" i="2"/>
  <c r="Q985" i="2"/>
  <c r="P985" i="2"/>
  <c r="Q984" i="2"/>
  <c r="P984" i="2"/>
  <c r="Q983" i="2"/>
  <c r="P983" i="2"/>
  <c r="Q982" i="2"/>
  <c r="P982" i="2"/>
  <c r="Q981" i="2"/>
  <c r="P981" i="2"/>
  <c r="Q980" i="2"/>
  <c r="P980" i="2"/>
  <c r="Q979" i="2"/>
  <c r="P979" i="2"/>
  <c r="Q978" i="2"/>
  <c r="P978" i="2"/>
  <c r="Q977" i="2"/>
  <c r="P977" i="2"/>
  <c r="Q976" i="2"/>
  <c r="P976" i="2"/>
  <c r="Q975" i="2"/>
  <c r="P975" i="2"/>
  <c r="Q974" i="2"/>
  <c r="P974" i="2"/>
  <c r="Q973" i="2"/>
  <c r="P973" i="2"/>
  <c r="Q972" i="2"/>
  <c r="P972" i="2"/>
  <c r="Q971" i="2"/>
  <c r="P971" i="2"/>
  <c r="Q970" i="2"/>
  <c r="P970" i="2"/>
  <c r="Q969" i="2"/>
  <c r="P969" i="2"/>
  <c r="Q968" i="2"/>
  <c r="P968" i="2"/>
  <c r="Q967" i="2"/>
  <c r="P967" i="2"/>
  <c r="Q966" i="2"/>
  <c r="P966" i="2"/>
  <c r="Q965" i="2"/>
  <c r="P965" i="2"/>
  <c r="Q964" i="2"/>
  <c r="P964" i="2"/>
  <c r="Q963" i="2"/>
  <c r="P963" i="2"/>
  <c r="Q962" i="2"/>
  <c r="P962" i="2"/>
  <c r="Q961" i="2"/>
  <c r="P961" i="2"/>
  <c r="Q960" i="2"/>
  <c r="P960" i="2"/>
  <c r="Q959" i="2"/>
  <c r="P959" i="2"/>
  <c r="Q958" i="2"/>
  <c r="P958" i="2"/>
  <c r="Q957" i="2"/>
  <c r="P957" i="2"/>
  <c r="Q956" i="2"/>
  <c r="P956" i="2"/>
  <c r="Q955" i="2"/>
  <c r="P955" i="2"/>
  <c r="Q954" i="2"/>
  <c r="P954" i="2"/>
  <c r="Q953" i="2"/>
  <c r="P953" i="2"/>
  <c r="Q952" i="2"/>
  <c r="P952" i="2"/>
  <c r="Q951" i="2"/>
  <c r="P951" i="2"/>
  <c r="Q950" i="2"/>
  <c r="P950" i="2"/>
  <c r="Q949" i="2"/>
  <c r="P949" i="2"/>
  <c r="Q948" i="2"/>
  <c r="P948" i="2"/>
  <c r="Q947" i="2"/>
  <c r="P947" i="2"/>
  <c r="Q946" i="2"/>
  <c r="P946" i="2"/>
  <c r="Q945" i="2"/>
  <c r="P945" i="2"/>
  <c r="Q944" i="2"/>
  <c r="P944" i="2"/>
  <c r="Q943" i="2"/>
  <c r="P943" i="2"/>
  <c r="Q942" i="2"/>
  <c r="P942" i="2"/>
  <c r="Q941" i="2"/>
  <c r="P941" i="2"/>
  <c r="Q940" i="2"/>
  <c r="P940" i="2"/>
  <c r="Q939" i="2"/>
  <c r="P939" i="2"/>
  <c r="Q938" i="2"/>
  <c r="P938" i="2"/>
  <c r="Q937" i="2"/>
  <c r="P937" i="2"/>
  <c r="Q936" i="2"/>
  <c r="P936" i="2"/>
  <c r="Q935" i="2"/>
  <c r="P935" i="2"/>
  <c r="Q934" i="2"/>
  <c r="P934" i="2"/>
  <c r="Q933" i="2"/>
  <c r="P933" i="2"/>
  <c r="Q932" i="2"/>
  <c r="P932" i="2"/>
  <c r="Q931" i="2"/>
  <c r="P931" i="2"/>
  <c r="Q930" i="2"/>
  <c r="P930" i="2"/>
  <c r="Q929" i="2"/>
  <c r="P929" i="2"/>
  <c r="Q928" i="2"/>
  <c r="P928" i="2"/>
  <c r="Q927" i="2"/>
  <c r="P927" i="2"/>
  <c r="Q926" i="2"/>
  <c r="P926" i="2"/>
  <c r="Q925" i="2"/>
  <c r="P925" i="2"/>
  <c r="Q924" i="2"/>
  <c r="P924" i="2"/>
  <c r="Q923" i="2"/>
  <c r="P923" i="2"/>
  <c r="Q922" i="2"/>
  <c r="P922" i="2"/>
  <c r="Q921" i="2"/>
  <c r="P921" i="2"/>
  <c r="Q920" i="2"/>
  <c r="P920" i="2"/>
  <c r="Q919" i="2"/>
  <c r="P919" i="2"/>
  <c r="Q918" i="2"/>
  <c r="P918" i="2"/>
  <c r="Q917" i="2"/>
  <c r="P917" i="2"/>
  <c r="Q916" i="2"/>
  <c r="P916" i="2"/>
  <c r="Q915" i="2"/>
  <c r="P915" i="2"/>
  <c r="Q914" i="2"/>
  <c r="P914" i="2"/>
  <c r="Q913" i="2"/>
  <c r="P913" i="2"/>
  <c r="Q912" i="2"/>
  <c r="P912" i="2"/>
  <c r="Q911" i="2"/>
  <c r="P911" i="2"/>
  <c r="Q910" i="2"/>
  <c r="P910" i="2"/>
  <c r="Q909" i="2"/>
  <c r="P909" i="2"/>
  <c r="Q908" i="2"/>
  <c r="P908" i="2"/>
  <c r="Q907" i="2"/>
  <c r="P907" i="2"/>
  <c r="Q906" i="2"/>
  <c r="P906" i="2"/>
  <c r="Q905" i="2"/>
  <c r="P905" i="2"/>
  <c r="Q904" i="2"/>
  <c r="P904" i="2"/>
  <c r="Q903" i="2"/>
  <c r="P903" i="2"/>
  <c r="Q902" i="2"/>
  <c r="P902" i="2"/>
  <c r="Q901" i="2"/>
  <c r="P901" i="2"/>
  <c r="Q900" i="2"/>
  <c r="P900" i="2"/>
  <c r="Q899" i="2"/>
  <c r="P899" i="2"/>
  <c r="Q898" i="2"/>
  <c r="P898" i="2"/>
  <c r="Q897" i="2"/>
  <c r="P897" i="2"/>
  <c r="Q896" i="2"/>
  <c r="P896" i="2"/>
  <c r="Q895" i="2"/>
  <c r="P895" i="2"/>
  <c r="Q894" i="2"/>
  <c r="P894" i="2"/>
  <c r="Q893" i="2"/>
  <c r="P893" i="2"/>
  <c r="Q892" i="2"/>
  <c r="P892" i="2"/>
  <c r="Q891" i="2"/>
  <c r="P891" i="2"/>
  <c r="Q890" i="2"/>
  <c r="P890" i="2"/>
  <c r="Q889" i="2"/>
  <c r="P889" i="2"/>
  <c r="Q888" i="2"/>
  <c r="P888" i="2"/>
  <c r="Q887" i="2"/>
  <c r="P887" i="2"/>
  <c r="Q886" i="2"/>
  <c r="P886" i="2"/>
  <c r="Q885" i="2"/>
  <c r="P885" i="2"/>
  <c r="Q884" i="2"/>
  <c r="P884" i="2"/>
  <c r="Q883" i="2"/>
  <c r="P883" i="2"/>
  <c r="Q882" i="2"/>
  <c r="P882" i="2"/>
  <c r="Q881" i="2"/>
  <c r="P881" i="2"/>
  <c r="Q880" i="2"/>
  <c r="P880" i="2"/>
  <c r="Q879" i="2"/>
  <c r="P879" i="2"/>
  <c r="Q878" i="2"/>
  <c r="P878" i="2"/>
  <c r="Q877" i="2"/>
  <c r="P877" i="2"/>
  <c r="Q876" i="2"/>
  <c r="P876" i="2"/>
  <c r="Q875" i="2"/>
  <c r="P875" i="2"/>
  <c r="Q874" i="2"/>
  <c r="P874" i="2"/>
  <c r="Q873" i="2"/>
  <c r="P873" i="2"/>
  <c r="Q872" i="2"/>
  <c r="P872" i="2"/>
  <c r="Q871" i="2"/>
  <c r="P871" i="2"/>
  <c r="Q870" i="2"/>
  <c r="P870" i="2"/>
  <c r="Q869" i="2"/>
  <c r="P869" i="2"/>
  <c r="Q868" i="2"/>
  <c r="P868" i="2"/>
  <c r="Q867" i="2"/>
  <c r="P867" i="2"/>
  <c r="Q866" i="2"/>
  <c r="P866" i="2"/>
  <c r="Q865" i="2"/>
  <c r="P865" i="2"/>
  <c r="Q864" i="2"/>
  <c r="P864" i="2"/>
  <c r="Q863" i="2"/>
  <c r="P863" i="2"/>
  <c r="Q862" i="2"/>
  <c r="P862" i="2"/>
  <c r="Q861" i="2"/>
  <c r="P861" i="2"/>
  <c r="Q860" i="2"/>
  <c r="P860" i="2"/>
  <c r="Q859" i="2"/>
  <c r="P859" i="2"/>
  <c r="Q858" i="2"/>
  <c r="P858" i="2"/>
  <c r="Q857" i="2"/>
  <c r="P857" i="2"/>
  <c r="Q856" i="2"/>
  <c r="P856" i="2"/>
  <c r="Q855" i="2"/>
  <c r="P855" i="2"/>
  <c r="Q854" i="2"/>
  <c r="P854" i="2"/>
  <c r="Q853" i="2"/>
  <c r="P853" i="2"/>
  <c r="Q852" i="2"/>
  <c r="P852" i="2"/>
  <c r="Q851" i="2"/>
  <c r="P851" i="2"/>
  <c r="Q850" i="2"/>
  <c r="P850" i="2"/>
  <c r="Q849" i="2"/>
  <c r="P849" i="2"/>
  <c r="Q848" i="2"/>
  <c r="P848" i="2"/>
  <c r="Q847" i="2"/>
  <c r="P847" i="2"/>
  <c r="Q846" i="2"/>
  <c r="P846" i="2"/>
  <c r="Q845" i="2"/>
  <c r="P845" i="2"/>
  <c r="Q844" i="2"/>
  <c r="P844" i="2"/>
  <c r="Q843" i="2"/>
  <c r="P843" i="2"/>
  <c r="Q842" i="2"/>
  <c r="P842" i="2"/>
  <c r="Q841" i="2"/>
  <c r="P841" i="2"/>
  <c r="Q840" i="2"/>
  <c r="P840" i="2"/>
  <c r="Q839" i="2"/>
  <c r="P839" i="2"/>
  <c r="Q838" i="2"/>
  <c r="P838" i="2"/>
  <c r="Q837" i="2"/>
  <c r="P837" i="2"/>
  <c r="Q836" i="2"/>
  <c r="P836" i="2"/>
  <c r="Q835" i="2"/>
  <c r="P835" i="2"/>
  <c r="Q834" i="2"/>
  <c r="P834" i="2"/>
  <c r="Q833" i="2"/>
  <c r="P833" i="2"/>
  <c r="Q832" i="2"/>
  <c r="P832" i="2"/>
  <c r="Q831" i="2"/>
  <c r="P831" i="2"/>
  <c r="Q830" i="2"/>
  <c r="P830" i="2"/>
  <c r="Q829" i="2"/>
  <c r="P829" i="2"/>
  <c r="Q828" i="2"/>
  <c r="P828" i="2"/>
  <c r="Q827" i="2"/>
  <c r="P827" i="2"/>
  <c r="Q826" i="2"/>
  <c r="P826" i="2"/>
  <c r="Q825" i="2"/>
  <c r="P825" i="2"/>
  <c r="Q824" i="2"/>
  <c r="P824" i="2"/>
  <c r="Q823" i="2"/>
  <c r="P823" i="2"/>
  <c r="Q822" i="2"/>
  <c r="P822" i="2"/>
  <c r="Q821" i="2"/>
  <c r="P821" i="2"/>
  <c r="Q820" i="2"/>
  <c r="P820" i="2"/>
  <c r="Q819" i="2"/>
  <c r="P819" i="2"/>
  <c r="Q818" i="2"/>
  <c r="P818" i="2"/>
  <c r="Q817" i="2"/>
  <c r="P817" i="2"/>
  <c r="Q816" i="2"/>
  <c r="P816" i="2"/>
  <c r="Q815" i="2"/>
  <c r="P815" i="2"/>
  <c r="Q814" i="2"/>
  <c r="P814" i="2"/>
  <c r="Q813" i="2"/>
  <c r="P813" i="2"/>
  <c r="Q812" i="2"/>
  <c r="P812" i="2"/>
  <c r="Q811" i="2"/>
  <c r="P811" i="2"/>
  <c r="Q810" i="2"/>
  <c r="P810" i="2"/>
  <c r="Q809" i="2"/>
  <c r="P809" i="2"/>
  <c r="Q808" i="2"/>
  <c r="P808" i="2"/>
  <c r="Q807" i="2"/>
  <c r="P807" i="2"/>
  <c r="Q806" i="2"/>
  <c r="P806" i="2"/>
  <c r="Q805" i="2"/>
  <c r="P805" i="2"/>
  <c r="Q804" i="2"/>
  <c r="P804" i="2"/>
  <c r="Q803" i="2"/>
  <c r="P803" i="2"/>
  <c r="Q802" i="2"/>
  <c r="P802" i="2"/>
  <c r="Q801" i="2"/>
  <c r="P801" i="2"/>
  <c r="Q800" i="2"/>
  <c r="P800" i="2"/>
  <c r="Q799" i="2"/>
  <c r="P799" i="2"/>
  <c r="Q798" i="2"/>
  <c r="P798" i="2"/>
  <c r="Q797" i="2"/>
  <c r="P797" i="2"/>
  <c r="Q796" i="2"/>
  <c r="P796" i="2"/>
  <c r="Q795" i="2"/>
  <c r="P795" i="2"/>
  <c r="Q794" i="2"/>
  <c r="P794" i="2"/>
  <c r="Q793" i="2"/>
  <c r="P793" i="2"/>
  <c r="Q792" i="2"/>
  <c r="P792" i="2"/>
  <c r="Q791" i="2"/>
  <c r="P791" i="2"/>
  <c r="Q790" i="2"/>
  <c r="P790" i="2"/>
  <c r="Q789" i="2"/>
  <c r="P789" i="2"/>
  <c r="Q788" i="2"/>
  <c r="P788" i="2"/>
  <c r="Q787" i="2"/>
  <c r="P787" i="2"/>
  <c r="Q786" i="2"/>
  <c r="P786" i="2"/>
  <c r="Q785" i="2"/>
  <c r="P785" i="2"/>
  <c r="Q784" i="2"/>
  <c r="P784" i="2"/>
  <c r="Q783" i="2"/>
  <c r="P783" i="2"/>
  <c r="Q782" i="2"/>
  <c r="P782" i="2"/>
  <c r="Q781" i="2"/>
  <c r="P781" i="2"/>
  <c r="Q780" i="2"/>
  <c r="P780" i="2"/>
  <c r="Q779" i="2"/>
  <c r="P779" i="2"/>
  <c r="Q778" i="2"/>
  <c r="P778" i="2"/>
  <c r="Q777" i="2"/>
  <c r="P777" i="2"/>
  <c r="Q776" i="2"/>
  <c r="P776" i="2"/>
  <c r="Q775" i="2"/>
  <c r="P775" i="2"/>
  <c r="Q774" i="2"/>
  <c r="P774" i="2"/>
  <c r="Q773" i="2"/>
  <c r="P773" i="2"/>
  <c r="Q772" i="2"/>
  <c r="P772" i="2"/>
  <c r="Q771" i="2"/>
  <c r="P771" i="2"/>
  <c r="Q770" i="2"/>
  <c r="P770" i="2"/>
  <c r="Q769" i="2"/>
  <c r="P769" i="2"/>
  <c r="Q768" i="2"/>
  <c r="P768" i="2"/>
  <c r="Q767" i="2"/>
  <c r="P767" i="2"/>
  <c r="Q766" i="2"/>
  <c r="P766" i="2"/>
  <c r="Q765" i="2"/>
  <c r="P765" i="2"/>
  <c r="Q764" i="2"/>
  <c r="P764" i="2"/>
  <c r="Q763" i="2"/>
  <c r="P763" i="2"/>
  <c r="Q762" i="2"/>
  <c r="P762" i="2"/>
  <c r="Q761" i="2"/>
  <c r="P761" i="2"/>
  <c r="Q760" i="2"/>
  <c r="P760" i="2"/>
  <c r="Q759" i="2"/>
  <c r="P759" i="2"/>
  <c r="Q758" i="2"/>
  <c r="P758" i="2"/>
  <c r="Q757" i="2"/>
  <c r="P757" i="2"/>
  <c r="Q756" i="2"/>
  <c r="P756" i="2"/>
  <c r="Q755" i="2"/>
  <c r="P755" i="2"/>
  <c r="Q754" i="2"/>
  <c r="P754" i="2"/>
  <c r="Q753" i="2"/>
  <c r="P753" i="2"/>
  <c r="Q752" i="2"/>
  <c r="P752" i="2"/>
  <c r="Q751" i="2"/>
  <c r="P751" i="2"/>
  <c r="Q750" i="2"/>
  <c r="P750" i="2"/>
  <c r="Q749" i="2"/>
  <c r="P749" i="2"/>
  <c r="Q748" i="2"/>
  <c r="P748" i="2"/>
  <c r="Q747" i="2"/>
  <c r="P747" i="2"/>
  <c r="Q746" i="2"/>
  <c r="P746" i="2"/>
  <c r="Q745" i="2"/>
  <c r="P745" i="2"/>
  <c r="Q744" i="2"/>
  <c r="P744" i="2"/>
  <c r="Q743" i="2"/>
  <c r="P743" i="2"/>
  <c r="Q742" i="2"/>
  <c r="P742" i="2"/>
  <c r="Q741" i="2"/>
  <c r="P741" i="2"/>
  <c r="Q740" i="2"/>
  <c r="P740" i="2"/>
  <c r="Q739" i="2"/>
  <c r="P739" i="2"/>
  <c r="Q738" i="2"/>
  <c r="P738" i="2"/>
  <c r="Q737" i="2"/>
  <c r="P737" i="2"/>
  <c r="Q736" i="2"/>
  <c r="P736" i="2"/>
  <c r="Q735" i="2"/>
  <c r="P735" i="2"/>
  <c r="Q734" i="2"/>
  <c r="P734" i="2"/>
  <c r="Q733" i="2"/>
  <c r="P733" i="2"/>
  <c r="Q732" i="2"/>
  <c r="P732" i="2"/>
  <c r="Q731" i="2"/>
  <c r="P731" i="2"/>
  <c r="Q730" i="2"/>
  <c r="P730" i="2"/>
  <c r="Q729" i="2"/>
  <c r="P729" i="2"/>
  <c r="Q728" i="2"/>
  <c r="P728" i="2"/>
  <c r="Q727" i="2"/>
  <c r="P727" i="2"/>
  <c r="Q726" i="2"/>
  <c r="P726" i="2"/>
  <c r="Q725" i="2"/>
  <c r="P725" i="2"/>
  <c r="Q724" i="2"/>
  <c r="P724" i="2"/>
  <c r="Q723" i="2"/>
  <c r="P723" i="2"/>
  <c r="Q722" i="2"/>
  <c r="P722" i="2"/>
  <c r="Q721" i="2"/>
  <c r="P721" i="2"/>
  <c r="Q720" i="2"/>
  <c r="P720" i="2"/>
  <c r="Q719" i="2"/>
  <c r="P719" i="2"/>
  <c r="Q718" i="2"/>
  <c r="P718" i="2"/>
  <c r="Q717" i="2"/>
  <c r="P717" i="2"/>
  <c r="Q716" i="2"/>
  <c r="P716" i="2"/>
  <c r="Q715" i="2"/>
  <c r="P715" i="2"/>
  <c r="Q714" i="2"/>
  <c r="P714" i="2"/>
  <c r="Q713" i="2"/>
  <c r="P713" i="2"/>
  <c r="Q712" i="2"/>
  <c r="P712" i="2"/>
  <c r="Q711" i="2"/>
  <c r="P711" i="2"/>
  <c r="Q710" i="2"/>
  <c r="P710" i="2"/>
  <c r="Q709" i="2"/>
  <c r="P709" i="2"/>
  <c r="Q708" i="2"/>
  <c r="P708" i="2"/>
  <c r="Q707" i="2"/>
  <c r="P707" i="2"/>
  <c r="Q706" i="2"/>
  <c r="P706" i="2"/>
  <c r="Q705" i="2"/>
  <c r="P705" i="2"/>
  <c r="Q704" i="2"/>
  <c r="P704" i="2"/>
  <c r="Q703" i="2"/>
  <c r="P703" i="2"/>
  <c r="Q702" i="2"/>
  <c r="P702" i="2"/>
  <c r="Q701" i="2"/>
  <c r="P701" i="2"/>
  <c r="Q700" i="2"/>
  <c r="P700" i="2"/>
  <c r="Q699" i="2"/>
  <c r="P699" i="2"/>
  <c r="Q698" i="2"/>
  <c r="P698" i="2"/>
  <c r="Q697" i="2"/>
  <c r="P697" i="2"/>
  <c r="Q696" i="2"/>
  <c r="P696" i="2"/>
  <c r="Q695" i="2"/>
  <c r="P695" i="2"/>
  <c r="Q694" i="2"/>
  <c r="P694" i="2"/>
  <c r="Q693" i="2"/>
  <c r="P693" i="2"/>
  <c r="Q692" i="2"/>
  <c r="P692" i="2"/>
  <c r="Q691" i="2"/>
  <c r="P691" i="2"/>
  <c r="Q690" i="2"/>
  <c r="P690" i="2"/>
  <c r="Q689" i="2"/>
  <c r="P689" i="2"/>
  <c r="Q688" i="2"/>
  <c r="P688" i="2"/>
  <c r="Q687" i="2"/>
  <c r="P687" i="2"/>
  <c r="Q686" i="2"/>
  <c r="P686" i="2"/>
  <c r="Q685" i="2"/>
  <c r="P685" i="2"/>
  <c r="Q684" i="2"/>
  <c r="P684" i="2"/>
  <c r="Q683" i="2"/>
  <c r="P683" i="2"/>
  <c r="Q682" i="2"/>
  <c r="P682" i="2"/>
  <c r="Q681" i="2"/>
  <c r="P681" i="2"/>
  <c r="Q680" i="2"/>
  <c r="P680" i="2"/>
  <c r="Q679" i="2"/>
  <c r="P679" i="2"/>
  <c r="Q678" i="2"/>
  <c r="P678" i="2"/>
  <c r="Q677" i="2"/>
  <c r="P677" i="2"/>
  <c r="Q676" i="2"/>
  <c r="P676" i="2"/>
  <c r="Q675" i="2"/>
  <c r="P675" i="2"/>
  <c r="Q674" i="2"/>
  <c r="P674" i="2"/>
  <c r="Q673" i="2"/>
  <c r="P673" i="2"/>
  <c r="Q672" i="2"/>
  <c r="P672" i="2"/>
  <c r="Q671" i="2"/>
  <c r="P671" i="2"/>
  <c r="Q670" i="2"/>
  <c r="P670" i="2"/>
  <c r="Q669" i="2"/>
  <c r="P669" i="2"/>
  <c r="Q668" i="2"/>
  <c r="P668" i="2"/>
  <c r="Q667" i="2"/>
  <c r="P667" i="2"/>
  <c r="Q666" i="2"/>
  <c r="P666" i="2"/>
  <c r="Q665" i="2"/>
  <c r="P665" i="2"/>
  <c r="Q664" i="2"/>
  <c r="P664" i="2"/>
  <c r="Q663" i="2"/>
  <c r="P663" i="2"/>
  <c r="Q662" i="2"/>
  <c r="P662" i="2"/>
  <c r="Q661" i="2"/>
  <c r="P661" i="2"/>
  <c r="Q660" i="2"/>
  <c r="P660" i="2"/>
  <c r="Q659" i="2"/>
  <c r="P659" i="2"/>
  <c r="Q658" i="2"/>
  <c r="P658" i="2"/>
  <c r="Q657" i="2"/>
  <c r="P657" i="2"/>
  <c r="Q656" i="2"/>
  <c r="P656" i="2"/>
  <c r="Q655" i="2"/>
  <c r="P655" i="2"/>
  <c r="Q654" i="2"/>
  <c r="P654" i="2"/>
  <c r="Q653" i="2"/>
  <c r="P653" i="2"/>
  <c r="Q652" i="2"/>
  <c r="P652" i="2"/>
  <c r="Q651" i="2"/>
  <c r="P651" i="2"/>
  <c r="Q650" i="2"/>
  <c r="P650" i="2"/>
  <c r="Q649" i="2"/>
  <c r="P649" i="2"/>
  <c r="Q648" i="2"/>
  <c r="P648" i="2"/>
  <c r="Q647" i="2"/>
  <c r="P647" i="2"/>
  <c r="Q646" i="2"/>
  <c r="P646" i="2"/>
  <c r="Q645" i="2"/>
  <c r="P645" i="2"/>
  <c r="Q644" i="2"/>
  <c r="P644" i="2"/>
  <c r="Q643" i="2"/>
  <c r="P643" i="2"/>
  <c r="Q642" i="2"/>
  <c r="P642" i="2"/>
  <c r="Q641" i="2"/>
  <c r="P641" i="2"/>
  <c r="Q640" i="2"/>
  <c r="P640" i="2"/>
  <c r="Q639" i="2"/>
  <c r="P639" i="2"/>
  <c r="Q638" i="2"/>
  <c r="P638" i="2"/>
  <c r="Q637" i="2"/>
  <c r="P637" i="2"/>
  <c r="Q636" i="2"/>
  <c r="P636" i="2"/>
  <c r="Q635" i="2"/>
  <c r="P635" i="2"/>
  <c r="Q634" i="2"/>
  <c r="P634" i="2"/>
  <c r="Q633" i="2"/>
  <c r="P633" i="2"/>
  <c r="Q632" i="2"/>
  <c r="P632" i="2"/>
  <c r="Q631" i="2"/>
  <c r="P631" i="2"/>
  <c r="Q630" i="2"/>
  <c r="P630" i="2"/>
  <c r="Q629" i="2"/>
  <c r="P629" i="2"/>
  <c r="Q628" i="2"/>
  <c r="P628" i="2"/>
  <c r="Q627" i="2"/>
  <c r="P627" i="2"/>
  <c r="Q626" i="2"/>
  <c r="P626" i="2"/>
  <c r="Q625" i="2"/>
  <c r="P625" i="2"/>
  <c r="Q624" i="2"/>
  <c r="P624" i="2"/>
  <c r="Q623" i="2"/>
  <c r="P623" i="2"/>
  <c r="Q622" i="2"/>
  <c r="P622" i="2"/>
  <c r="Q621" i="2"/>
  <c r="P621" i="2"/>
  <c r="Q620" i="2"/>
  <c r="P620" i="2"/>
  <c r="Q619" i="2"/>
  <c r="P619" i="2"/>
  <c r="Q618" i="2"/>
  <c r="P618" i="2"/>
  <c r="Q617" i="2"/>
  <c r="P617" i="2"/>
  <c r="Q616" i="2"/>
  <c r="P616" i="2"/>
  <c r="Q615" i="2"/>
  <c r="P615" i="2"/>
  <c r="Q614" i="2"/>
  <c r="P614" i="2"/>
  <c r="Q613" i="2"/>
  <c r="P613" i="2"/>
  <c r="Q612" i="2"/>
  <c r="P612" i="2"/>
  <c r="Q611" i="2"/>
  <c r="P611" i="2"/>
  <c r="Q610" i="2"/>
  <c r="P610" i="2"/>
  <c r="Q609" i="2"/>
  <c r="P609" i="2"/>
  <c r="Q608" i="2"/>
  <c r="P608" i="2"/>
  <c r="Q607" i="2"/>
  <c r="P607" i="2"/>
  <c r="Q606" i="2"/>
  <c r="P606" i="2"/>
  <c r="Q605" i="2"/>
  <c r="P605" i="2"/>
  <c r="Q604" i="2"/>
  <c r="P604" i="2"/>
  <c r="Q603" i="2"/>
  <c r="P603" i="2"/>
  <c r="Q602" i="2"/>
  <c r="P602" i="2"/>
  <c r="Q601" i="2"/>
  <c r="P601" i="2"/>
  <c r="Q600" i="2"/>
  <c r="P600" i="2"/>
  <c r="Q599" i="2"/>
  <c r="P599" i="2"/>
  <c r="Q598" i="2"/>
  <c r="P598" i="2"/>
  <c r="Q597" i="2"/>
  <c r="P597" i="2"/>
  <c r="Q596" i="2"/>
  <c r="P596" i="2"/>
  <c r="Q595" i="2"/>
  <c r="P595" i="2"/>
  <c r="Q594" i="2"/>
  <c r="P594" i="2"/>
  <c r="Q593" i="2"/>
  <c r="P593" i="2"/>
  <c r="Q592" i="2"/>
  <c r="P592" i="2"/>
  <c r="Q591" i="2"/>
  <c r="P591" i="2"/>
  <c r="Q590" i="2"/>
  <c r="P590" i="2"/>
  <c r="Q589" i="2"/>
  <c r="P589" i="2"/>
  <c r="Q588" i="2"/>
  <c r="P588" i="2"/>
  <c r="Q587" i="2"/>
  <c r="P587" i="2"/>
  <c r="Q586" i="2"/>
  <c r="P586" i="2"/>
  <c r="Q585" i="2"/>
  <c r="P585" i="2"/>
  <c r="Q584" i="2"/>
  <c r="P584" i="2"/>
  <c r="Q583" i="2"/>
  <c r="P583" i="2"/>
  <c r="Q582" i="2"/>
  <c r="P582" i="2"/>
  <c r="Q581" i="2"/>
  <c r="P581" i="2"/>
  <c r="Q580" i="2"/>
  <c r="P580" i="2"/>
  <c r="Q579" i="2"/>
  <c r="P579" i="2"/>
  <c r="Q578" i="2"/>
  <c r="P578" i="2"/>
  <c r="Q577" i="2"/>
  <c r="P577" i="2"/>
  <c r="Q576" i="2"/>
  <c r="P576" i="2"/>
  <c r="Q575" i="2"/>
  <c r="P575" i="2"/>
  <c r="Q574" i="2"/>
  <c r="P574" i="2"/>
  <c r="Q573" i="2"/>
  <c r="P573" i="2"/>
  <c r="Q572" i="2"/>
  <c r="P572" i="2"/>
  <c r="Q571" i="2"/>
  <c r="P571" i="2"/>
  <c r="Q570" i="2"/>
  <c r="P570" i="2"/>
  <c r="Q569" i="2"/>
  <c r="P569" i="2"/>
  <c r="Q568" i="2"/>
  <c r="P568" i="2"/>
  <c r="Q567" i="2"/>
  <c r="P567" i="2"/>
  <c r="Q566" i="2"/>
  <c r="P566" i="2"/>
  <c r="Q565" i="2"/>
  <c r="P565" i="2"/>
  <c r="Q564" i="2"/>
  <c r="P564" i="2"/>
  <c r="Q563" i="2"/>
  <c r="P563" i="2"/>
  <c r="Q562" i="2"/>
  <c r="P562" i="2"/>
  <c r="Q561" i="2"/>
  <c r="P561" i="2"/>
  <c r="Q560" i="2"/>
  <c r="P560" i="2"/>
  <c r="Q559" i="2"/>
  <c r="P559" i="2"/>
  <c r="Q558" i="2"/>
  <c r="P558" i="2"/>
  <c r="Q557" i="2"/>
  <c r="P557" i="2"/>
  <c r="Q556" i="2"/>
  <c r="P556" i="2"/>
  <c r="Q555" i="2"/>
  <c r="P555" i="2"/>
  <c r="Q554" i="2"/>
  <c r="P554" i="2"/>
  <c r="Q553" i="2"/>
  <c r="P553" i="2"/>
  <c r="Q552" i="2"/>
  <c r="P552" i="2"/>
  <c r="Q551" i="2"/>
  <c r="P551" i="2"/>
  <c r="Q550" i="2"/>
  <c r="P550" i="2"/>
  <c r="Q549" i="2"/>
  <c r="P549" i="2"/>
  <c r="Q548" i="2"/>
  <c r="P548" i="2"/>
  <c r="Q547" i="2"/>
  <c r="P547" i="2"/>
  <c r="Q546" i="2"/>
  <c r="P546" i="2"/>
  <c r="Q545" i="2"/>
  <c r="P545" i="2"/>
  <c r="Q544" i="2"/>
  <c r="P544" i="2"/>
  <c r="Q543" i="2"/>
  <c r="P543" i="2"/>
  <c r="Q542" i="2"/>
  <c r="P542" i="2"/>
  <c r="Q541" i="2"/>
  <c r="P541" i="2"/>
  <c r="Q540" i="2"/>
  <c r="P540" i="2"/>
  <c r="Q539" i="2"/>
  <c r="P539" i="2"/>
  <c r="Q538" i="2"/>
  <c r="P538" i="2"/>
  <c r="Q537" i="2"/>
  <c r="P537" i="2"/>
  <c r="Q536" i="2"/>
  <c r="P536" i="2"/>
  <c r="Q535" i="2"/>
  <c r="P535" i="2"/>
  <c r="Q534" i="2"/>
  <c r="P534" i="2"/>
  <c r="Q533" i="2"/>
  <c r="P533" i="2"/>
  <c r="Q532" i="2"/>
  <c r="P532" i="2"/>
  <c r="Q531" i="2"/>
  <c r="P531" i="2"/>
  <c r="Q530" i="2"/>
  <c r="P530" i="2"/>
  <c r="Q529" i="2"/>
  <c r="P529" i="2"/>
  <c r="Q528" i="2"/>
  <c r="P528" i="2"/>
  <c r="Q527" i="2"/>
  <c r="P527" i="2"/>
  <c r="Q526" i="2"/>
  <c r="P526" i="2"/>
  <c r="Q525" i="2"/>
  <c r="P525" i="2"/>
  <c r="Q524" i="2"/>
  <c r="P524" i="2"/>
  <c r="Q523" i="2"/>
  <c r="P523" i="2"/>
  <c r="Q522" i="2"/>
  <c r="P522" i="2"/>
  <c r="Q521" i="2"/>
  <c r="P521" i="2"/>
  <c r="Q520" i="2"/>
  <c r="P520" i="2"/>
  <c r="Q519" i="2"/>
  <c r="P519" i="2"/>
  <c r="Q518" i="2"/>
  <c r="P518" i="2"/>
  <c r="Q517" i="2"/>
  <c r="P517" i="2"/>
  <c r="Q516" i="2"/>
  <c r="P516" i="2"/>
  <c r="Q515" i="2"/>
  <c r="P515" i="2"/>
  <c r="Q514" i="2"/>
  <c r="P514" i="2"/>
  <c r="Q513" i="2"/>
  <c r="P513" i="2"/>
  <c r="Q512" i="2"/>
  <c r="P512" i="2"/>
  <c r="Q511" i="2"/>
  <c r="P511" i="2"/>
  <c r="Q510" i="2"/>
  <c r="P510" i="2"/>
  <c r="Q509" i="2"/>
  <c r="P509" i="2"/>
  <c r="Q508" i="2"/>
  <c r="P508" i="2"/>
  <c r="Q507" i="2"/>
  <c r="P507" i="2"/>
  <c r="Q506" i="2"/>
  <c r="P506" i="2"/>
  <c r="Q505" i="2"/>
  <c r="P505" i="2"/>
  <c r="Q504" i="2"/>
  <c r="P504" i="2"/>
  <c r="Q503" i="2"/>
  <c r="P503" i="2"/>
  <c r="Q502" i="2"/>
  <c r="P502" i="2"/>
  <c r="Q501" i="2"/>
  <c r="P501" i="2"/>
  <c r="Q500" i="2"/>
  <c r="P500" i="2"/>
  <c r="Q499" i="2"/>
  <c r="P499" i="2"/>
  <c r="Q498" i="2"/>
  <c r="P498" i="2"/>
  <c r="Q497" i="2"/>
  <c r="P497" i="2"/>
  <c r="Q496" i="2"/>
  <c r="P496" i="2"/>
  <c r="Q495" i="2"/>
  <c r="P495" i="2"/>
  <c r="Q494" i="2"/>
  <c r="P494" i="2"/>
  <c r="Q493" i="2"/>
  <c r="P493" i="2"/>
  <c r="Q492" i="2"/>
  <c r="P492" i="2"/>
  <c r="Q491" i="2"/>
  <c r="P491" i="2"/>
  <c r="Q490" i="2"/>
  <c r="P490" i="2"/>
  <c r="Q489" i="2"/>
  <c r="P489" i="2"/>
  <c r="Q488" i="2"/>
  <c r="P488" i="2"/>
  <c r="Q487" i="2"/>
  <c r="P487" i="2"/>
  <c r="Q486" i="2"/>
  <c r="P486" i="2"/>
  <c r="Q485" i="2"/>
  <c r="P485" i="2"/>
  <c r="Q484" i="2"/>
  <c r="P484" i="2"/>
  <c r="Q483" i="2"/>
  <c r="P483" i="2"/>
  <c r="Q482" i="2"/>
  <c r="P482" i="2"/>
  <c r="Q481" i="2"/>
  <c r="P481" i="2"/>
  <c r="Q480" i="2"/>
  <c r="P480" i="2"/>
  <c r="Q479" i="2"/>
  <c r="P479" i="2"/>
  <c r="Q478" i="2"/>
  <c r="P478" i="2"/>
  <c r="Q477" i="2"/>
  <c r="P477" i="2"/>
  <c r="Q476" i="2"/>
  <c r="P476" i="2"/>
  <c r="Q475" i="2"/>
  <c r="P475" i="2"/>
  <c r="Q474" i="2"/>
  <c r="P474" i="2"/>
  <c r="Q473" i="2"/>
  <c r="P473" i="2"/>
  <c r="Q472" i="2"/>
  <c r="P472" i="2"/>
  <c r="Q471" i="2"/>
  <c r="P471" i="2"/>
  <c r="Q470" i="2"/>
  <c r="P470" i="2"/>
  <c r="Q469" i="2"/>
  <c r="P469" i="2"/>
  <c r="Q468" i="2"/>
  <c r="P468" i="2"/>
  <c r="Q467" i="2"/>
  <c r="P467" i="2"/>
  <c r="Q466" i="2"/>
  <c r="P466" i="2"/>
  <c r="Q465" i="2"/>
  <c r="P465" i="2"/>
  <c r="Q464" i="2"/>
  <c r="P464" i="2"/>
  <c r="Q463" i="2"/>
  <c r="P463" i="2"/>
  <c r="Q462" i="2"/>
  <c r="P462" i="2"/>
  <c r="Q461" i="2"/>
  <c r="P461" i="2"/>
  <c r="Q460" i="2"/>
  <c r="P460" i="2"/>
  <c r="Q459" i="2"/>
  <c r="P459" i="2"/>
  <c r="Q458" i="2"/>
  <c r="P458" i="2"/>
  <c r="Q457" i="2"/>
  <c r="P457" i="2"/>
  <c r="Q456" i="2"/>
  <c r="P456" i="2"/>
  <c r="Q455" i="2"/>
  <c r="P455" i="2"/>
  <c r="Q454" i="2"/>
  <c r="P454" i="2"/>
  <c r="Q453" i="2"/>
  <c r="P453" i="2"/>
  <c r="Q452" i="2"/>
  <c r="P452" i="2"/>
  <c r="Q451" i="2"/>
  <c r="P451" i="2"/>
  <c r="Q450" i="2"/>
  <c r="P450" i="2"/>
  <c r="Q449" i="2"/>
  <c r="P449" i="2"/>
  <c r="Q448" i="2"/>
  <c r="P448" i="2"/>
  <c r="Q447" i="2"/>
  <c r="P447" i="2"/>
  <c r="Q446" i="2"/>
  <c r="P446" i="2"/>
  <c r="Q445" i="2"/>
  <c r="P445" i="2"/>
  <c r="Q444" i="2"/>
  <c r="P444" i="2"/>
  <c r="Q443" i="2"/>
  <c r="P443" i="2"/>
  <c r="Q442" i="2"/>
  <c r="P442" i="2"/>
  <c r="Q441" i="2"/>
  <c r="P441" i="2"/>
  <c r="Q440" i="2"/>
  <c r="P440" i="2"/>
  <c r="Q439" i="2"/>
  <c r="P439" i="2"/>
  <c r="Q438" i="2"/>
  <c r="P438" i="2"/>
  <c r="Q437" i="2"/>
  <c r="P437" i="2"/>
  <c r="Q436" i="2"/>
  <c r="P436" i="2"/>
  <c r="Q435" i="2"/>
  <c r="P435" i="2"/>
  <c r="Q434" i="2"/>
  <c r="P434" i="2"/>
  <c r="Q433" i="2"/>
  <c r="P433" i="2"/>
  <c r="Q432" i="2"/>
  <c r="P432" i="2"/>
  <c r="Q431" i="2"/>
  <c r="P431" i="2"/>
  <c r="Q430" i="2"/>
  <c r="P430" i="2"/>
  <c r="Q429" i="2"/>
  <c r="P429" i="2"/>
  <c r="Q428" i="2"/>
  <c r="P428" i="2"/>
  <c r="Q427" i="2"/>
  <c r="P427" i="2"/>
  <c r="Q426" i="2"/>
  <c r="P426" i="2"/>
  <c r="Q425" i="2"/>
  <c r="P425" i="2"/>
  <c r="Q424" i="2"/>
  <c r="P424" i="2"/>
  <c r="Q423" i="2"/>
  <c r="P423" i="2"/>
  <c r="Q422" i="2"/>
  <c r="P422" i="2"/>
  <c r="Q421" i="2"/>
  <c r="P421" i="2"/>
  <c r="Q420" i="2"/>
  <c r="P420" i="2"/>
  <c r="Q419" i="2"/>
  <c r="P419" i="2"/>
  <c r="Q418" i="2"/>
  <c r="P418" i="2"/>
  <c r="Q417" i="2"/>
  <c r="P417" i="2"/>
  <c r="Q416" i="2"/>
  <c r="P416" i="2"/>
  <c r="Q415" i="2"/>
  <c r="P415" i="2"/>
  <c r="Q414" i="2"/>
  <c r="P414" i="2"/>
  <c r="Q413" i="2"/>
  <c r="P413" i="2"/>
  <c r="Q412" i="2"/>
  <c r="P412" i="2"/>
  <c r="Q411" i="2"/>
  <c r="P411" i="2"/>
  <c r="Q410" i="2"/>
  <c r="P410" i="2"/>
  <c r="Q409" i="2"/>
  <c r="P409" i="2"/>
  <c r="Q408" i="2"/>
  <c r="P408" i="2"/>
  <c r="Q407" i="2"/>
  <c r="P407" i="2"/>
  <c r="Q406" i="2"/>
  <c r="P406" i="2"/>
  <c r="Q405" i="2"/>
  <c r="P405" i="2"/>
  <c r="Q404" i="2"/>
  <c r="P404" i="2"/>
  <c r="Q403" i="2"/>
  <c r="P403" i="2"/>
  <c r="Q402" i="2"/>
  <c r="P402" i="2"/>
  <c r="Q401" i="2"/>
  <c r="P401" i="2"/>
  <c r="Q400" i="2"/>
  <c r="P400" i="2"/>
  <c r="Q399" i="2"/>
  <c r="P399" i="2"/>
  <c r="Q398" i="2"/>
  <c r="P398" i="2"/>
  <c r="Q397" i="2"/>
  <c r="P397" i="2"/>
  <c r="Q396" i="2"/>
  <c r="P396" i="2"/>
  <c r="Q395" i="2"/>
  <c r="P395" i="2"/>
  <c r="Q394" i="2"/>
  <c r="P394" i="2"/>
  <c r="Q393" i="2"/>
  <c r="P393" i="2"/>
  <c r="Q392" i="2"/>
  <c r="P392" i="2"/>
  <c r="Q391" i="2"/>
  <c r="P391" i="2"/>
  <c r="Q390" i="2"/>
  <c r="P390" i="2"/>
  <c r="Q389" i="2"/>
  <c r="P389" i="2"/>
  <c r="Q388" i="2"/>
  <c r="P388" i="2"/>
  <c r="Q387" i="2"/>
  <c r="P387" i="2"/>
  <c r="Q386" i="2"/>
  <c r="P386" i="2"/>
  <c r="Q385" i="2"/>
  <c r="P385" i="2"/>
  <c r="Q384" i="2"/>
  <c r="P384" i="2"/>
  <c r="Q383" i="2"/>
  <c r="P383" i="2"/>
  <c r="Q382" i="2"/>
  <c r="P382" i="2"/>
  <c r="Q381" i="2"/>
  <c r="P381" i="2"/>
  <c r="Q380" i="2"/>
  <c r="P380" i="2"/>
  <c r="Q379" i="2"/>
  <c r="P379" i="2"/>
  <c r="Q378" i="2"/>
  <c r="P378" i="2"/>
  <c r="Q377" i="2"/>
  <c r="P377" i="2"/>
  <c r="Q376" i="2"/>
  <c r="P376" i="2"/>
  <c r="Q375" i="2"/>
  <c r="P375" i="2"/>
  <c r="Q374" i="2"/>
  <c r="P374" i="2"/>
  <c r="Q373" i="2"/>
  <c r="P373" i="2"/>
  <c r="Q372" i="2"/>
  <c r="P372" i="2"/>
  <c r="Q371" i="2"/>
  <c r="P371" i="2"/>
  <c r="Q370" i="2"/>
  <c r="P370" i="2"/>
  <c r="Q369" i="2"/>
  <c r="P369" i="2"/>
  <c r="Q368" i="2"/>
  <c r="P368" i="2"/>
  <c r="Q367" i="2"/>
  <c r="P367" i="2"/>
  <c r="Q366" i="2"/>
  <c r="P366" i="2"/>
  <c r="Q365" i="2"/>
  <c r="P365" i="2"/>
  <c r="Q364" i="2"/>
  <c r="P364" i="2"/>
  <c r="Q363" i="2"/>
  <c r="P363" i="2"/>
  <c r="Q362" i="2"/>
  <c r="P362" i="2"/>
  <c r="Q361" i="2"/>
  <c r="P361" i="2"/>
  <c r="Q360" i="2"/>
  <c r="P360" i="2"/>
  <c r="Q359" i="2"/>
  <c r="P359" i="2"/>
  <c r="Q358" i="2"/>
  <c r="P358" i="2"/>
  <c r="Q357" i="2"/>
  <c r="P357" i="2"/>
  <c r="Q356" i="2"/>
  <c r="P356" i="2"/>
  <c r="Q355" i="2"/>
  <c r="P355" i="2"/>
  <c r="Q354" i="2"/>
  <c r="P354" i="2"/>
  <c r="Q353" i="2"/>
  <c r="P353" i="2"/>
  <c r="Q352" i="2"/>
  <c r="P352" i="2"/>
  <c r="Q351" i="2"/>
  <c r="P351" i="2"/>
  <c r="Q350" i="2"/>
  <c r="P350" i="2"/>
  <c r="Q349" i="2"/>
  <c r="P349" i="2"/>
  <c r="Q348" i="2"/>
  <c r="P348" i="2"/>
  <c r="Q347" i="2"/>
  <c r="P347" i="2"/>
  <c r="Q346" i="2"/>
  <c r="P346" i="2"/>
  <c r="Q345" i="2"/>
  <c r="P345" i="2"/>
  <c r="Q344" i="2"/>
  <c r="P344" i="2"/>
  <c r="Q343" i="2"/>
  <c r="P343" i="2"/>
  <c r="Q342" i="2"/>
  <c r="P342" i="2"/>
  <c r="Q341" i="2"/>
  <c r="P341" i="2"/>
  <c r="Q340" i="2"/>
  <c r="P340" i="2"/>
  <c r="Q339" i="2"/>
  <c r="P339" i="2"/>
  <c r="Q338" i="2"/>
  <c r="P338" i="2"/>
  <c r="Q337" i="2"/>
  <c r="P337" i="2"/>
  <c r="Q336" i="2"/>
  <c r="P336" i="2"/>
  <c r="Q335" i="2"/>
  <c r="P335" i="2"/>
  <c r="Q334" i="2"/>
  <c r="P334" i="2"/>
  <c r="Q333" i="2"/>
  <c r="P333" i="2"/>
  <c r="Q332" i="2"/>
  <c r="P332" i="2"/>
  <c r="Q331" i="2"/>
  <c r="P331" i="2"/>
  <c r="Q330" i="2"/>
  <c r="P330" i="2"/>
  <c r="Q329" i="2"/>
  <c r="P329" i="2"/>
  <c r="Q328" i="2"/>
  <c r="P328" i="2"/>
  <c r="Q327" i="2"/>
  <c r="P327" i="2"/>
  <c r="Q326" i="2"/>
  <c r="P326" i="2"/>
  <c r="Q325" i="2"/>
  <c r="P325" i="2"/>
  <c r="Q324" i="2"/>
  <c r="P324" i="2"/>
  <c r="Q323" i="2"/>
  <c r="P323" i="2"/>
  <c r="Q322" i="2"/>
  <c r="P322" i="2"/>
  <c r="Q321" i="2"/>
  <c r="P321" i="2"/>
  <c r="Q320" i="2"/>
  <c r="P320" i="2"/>
  <c r="Q319" i="2"/>
  <c r="P319" i="2"/>
  <c r="Q318" i="2"/>
  <c r="P318" i="2"/>
  <c r="Q317" i="2"/>
  <c r="P317" i="2"/>
  <c r="Q316" i="2"/>
  <c r="P316" i="2"/>
  <c r="Q315" i="2"/>
  <c r="P315" i="2"/>
  <c r="Q314" i="2"/>
  <c r="P314" i="2"/>
  <c r="Q313" i="2"/>
  <c r="P313" i="2"/>
  <c r="Q312" i="2"/>
  <c r="P312" i="2"/>
  <c r="Q311" i="2"/>
  <c r="P311" i="2"/>
  <c r="Q310" i="2"/>
  <c r="P310" i="2"/>
  <c r="Q309" i="2"/>
  <c r="P309" i="2"/>
  <c r="Q308" i="2"/>
  <c r="P308" i="2"/>
  <c r="Q307" i="2"/>
  <c r="P307" i="2"/>
  <c r="Q306" i="2"/>
  <c r="P306" i="2"/>
  <c r="Q305" i="2"/>
  <c r="P305" i="2"/>
  <c r="Q304" i="2"/>
  <c r="P304" i="2"/>
  <c r="Q303" i="2"/>
  <c r="P303" i="2"/>
  <c r="Q302" i="2"/>
  <c r="P302" i="2"/>
  <c r="Q301" i="2"/>
  <c r="P301" i="2"/>
  <c r="Q300" i="2"/>
  <c r="P300" i="2"/>
  <c r="Q299" i="2"/>
  <c r="P299" i="2"/>
  <c r="Q298" i="2"/>
  <c r="P298" i="2"/>
  <c r="Q297" i="2"/>
  <c r="P297" i="2"/>
  <c r="Q296" i="2"/>
  <c r="P296" i="2"/>
  <c r="Q295" i="2"/>
  <c r="P295" i="2"/>
  <c r="Q294" i="2"/>
  <c r="P294" i="2"/>
  <c r="Q293" i="2"/>
  <c r="P293" i="2"/>
  <c r="Q292" i="2"/>
  <c r="P292" i="2"/>
  <c r="Q291" i="2"/>
  <c r="P291" i="2"/>
  <c r="Q290" i="2"/>
  <c r="P290" i="2"/>
  <c r="Q289" i="2"/>
  <c r="P289" i="2"/>
  <c r="Q288" i="2"/>
  <c r="P288" i="2"/>
  <c r="Q287" i="2"/>
  <c r="P287" i="2"/>
  <c r="Q286" i="2"/>
  <c r="P286" i="2"/>
  <c r="Q285" i="2"/>
  <c r="P285" i="2"/>
  <c r="Q284" i="2"/>
  <c r="P284" i="2"/>
  <c r="Q283" i="2"/>
  <c r="P283" i="2"/>
  <c r="Q282" i="2"/>
  <c r="P282" i="2"/>
  <c r="Q281" i="2"/>
  <c r="P281" i="2"/>
  <c r="Q280" i="2"/>
  <c r="P280" i="2"/>
  <c r="Q279" i="2"/>
  <c r="P279" i="2"/>
  <c r="Q278" i="2"/>
  <c r="P278" i="2"/>
  <c r="Q277" i="2"/>
  <c r="P277" i="2"/>
  <c r="Q276" i="2"/>
  <c r="P276" i="2"/>
  <c r="Q275" i="2"/>
  <c r="P275" i="2"/>
  <c r="Q274" i="2"/>
  <c r="P274" i="2"/>
  <c r="Q273" i="2"/>
  <c r="P273" i="2"/>
  <c r="Q272" i="2"/>
  <c r="P272" i="2"/>
  <c r="Q271" i="2"/>
  <c r="P271" i="2"/>
  <c r="Q270" i="2"/>
  <c r="P270" i="2"/>
  <c r="Q269" i="2"/>
  <c r="P269" i="2"/>
  <c r="Q268" i="2"/>
  <c r="P268" i="2"/>
  <c r="Q267" i="2"/>
  <c r="P267" i="2"/>
  <c r="Q266" i="2"/>
  <c r="P266" i="2"/>
  <c r="Q265" i="2"/>
  <c r="P265" i="2"/>
  <c r="Q264" i="2"/>
  <c r="P264" i="2"/>
  <c r="Q263" i="2"/>
  <c r="P263" i="2"/>
  <c r="Q262" i="2"/>
  <c r="P262" i="2"/>
  <c r="Q261" i="2"/>
  <c r="P261" i="2"/>
  <c r="Q260" i="2"/>
  <c r="P260" i="2"/>
  <c r="Q259" i="2"/>
  <c r="P259" i="2"/>
  <c r="Q258" i="2"/>
  <c r="P258" i="2"/>
  <c r="Q257" i="2"/>
  <c r="P257" i="2"/>
  <c r="Q256" i="2"/>
  <c r="P256" i="2"/>
  <c r="Q255" i="2"/>
  <c r="P255" i="2"/>
  <c r="Q254" i="2"/>
  <c r="P254" i="2"/>
  <c r="Q253" i="2"/>
  <c r="P253" i="2"/>
  <c r="Q252" i="2"/>
  <c r="P252" i="2"/>
  <c r="Q251" i="2"/>
  <c r="P251" i="2"/>
  <c r="Q250" i="2"/>
  <c r="P250" i="2"/>
  <c r="Q249" i="2"/>
  <c r="P249" i="2"/>
  <c r="Q248" i="2"/>
  <c r="P248" i="2"/>
  <c r="Q247" i="2"/>
  <c r="P247" i="2"/>
  <c r="Q246" i="2"/>
  <c r="P246" i="2"/>
  <c r="Q245" i="2"/>
  <c r="P245" i="2"/>
  <c r="Q244" i="2"/>
  <c r="P244" i="2"/>
  <c r="Q243" i="2"/>
  <c r="P243" i="2"/>
  <c r="Q242" i="2"/>
  <c r="P242" i="2"/>
  <c r="Q241" i="2"/>
  <c r="P241" i="2"/>
  <c r="Q240" i="2"/>
  <c r="P240" i="2"/>
  <c r="Q239" i="2"/>
  <c r="P239" i="2"/>
  <c r="Q238" i="2"/>
  <c r="P238" i="2"/>
  <c r="Q237" i="2"/>
  <c r="P237" i="2"/>
  <c r="Q236" i="2"/>
  <c r="P236" i="2"/>
  <c r="Q235" i="2"/>
  <c r="P235" i="2"/>
  <c r="Q234" i="2"/>
  <c r="P234" i="2"/>
  <c r="Q233" i="2"/>
  <c r="P233" i="2"/>
  <c r="Q232" i="2"/>
  <c r="P232" i="2"/>
  <c r="Q231" i="2"/>
  <c r="P231" i="2"/>
  <c r="Q230" i="2"/>
  <c r="P230" i="2"/>
  <c r="Q229" i="2"/>
  <c r="P229" i="2"/>
  <c r="Q228" i="2"/>
  <c r="P228" i="2"/>
  <c r="Q227" i="2"/>
  <c r="P227" i="2"/>
  <c r="Q226" i="2"/>
  <c r="P226" i="2"/>
  <c r="Q225" i="2"/>
  <c r="P225" i="2"/>
  <c r="Q224" i="2"/>
  <c r="P224" i="2"/>
  <c r="Q223" i="2"/>
  <c r="P223" i="2"/>
  <c r="Q222" i="2"/>
  <c r="P222" i="2"/>
  <c r="Q221" i="2"/>
  <c r="P221" i="2"/>
  <c r="Q220" i="2"/>
  <c r="P220" i="2"/>
  <c r="Q219" i="2"/>
  <c r="P219" i="2"/>
  <c r="Q218" i="2"/>
  <c r="P218" i="2"/>
  <c r="Q217" i="2"/>
  <c r="P217" i="2"/>
  <c r="Q216" i="2"/>
  <c r="P216" i="2"/>
  <c r="Q215" i="2"/>
  <c r="P215" i="2"/>
  <c r="Q214" i="2"/>
  <c r="P214" i="2"/>
  <c r="Q213" i="2"/>
  <c r="P213" i="2"/>
  <c r="Q212" i="2"/>
  <c r="P212" i="2"/>
  <c r="Q211" i="2"/>
  <c r="P211" i="2"/>
  <c r="Q210" i="2"/>
  <c r="P210" i="2"/>
  <c r="Q209" i="2"/>
  <c r="P209" i="2"/>
  <c r="Q208" i="2"/>
  <c r="P208" i="2"/>
  <c r="Q207" i="2"/>
  <c r="P207" i="2"/>
  <c r="Q206" i="2"/>
  <c r="P206" i="2"/>
  <c r="Q205" i="2"/>
  <c r="P205" i="2"/>
  <c r="Q204" i="2"/>
  <c r="P204" i="2"/>
  <c r="Q203" i="2"/>
  <c r="P203" i="2"/>
  <c r="Q202" i="2"/>
  <c r="P202" i="2"/>
  <c r="Q201" i="2"/>
  <c r="P201" i="2"/>
  <c r="Q200" i="2"/>
  <c r="P200" i="2"/>
  <c r="Q199" i="2"/>
  <c r="P199" i="2"/>
  <c r="Q198" i="2"/>
  <c r="P198" i="2"/>
  <c r="Q197" i="2"/>
  <c r="P197" i="2"/>
  <c r="Q196" i="2"/>
  <c r="P196" i="2"/>
  <c r="Q195" i="2"/>
  <c r="P195" i="2"/>
  <c r="Q194" i="2"/>
  <c r="P194" i="2"/>
  <c r="Q193" i="2"/>
  <c r="P193" i="2"/>
  <c r="Q192" i="2"/>
  <c r="P192" i="2"/>
  <c r="Q191" i="2"/>
  <c r="P191" i="2"/>
  <c r="Q190" i="2"/>
  <c r="P190" i="2"/>
  <c r="Q189" i="2"/>
  <c r="P189" i="2"/>
  <c r="Q188" i="2"/>
  <c r="P188" i="2"/>
  <c r="Q187" i="2"/>
  <c r="P187" i="2"/>
  <c r="Q186" i="2"/>
  <c r="P186" i="2"/>
  <c r="Q185" i="2"/>
  <c r="P185" i="2"/>
  <c r="Q184" i="2"/>
  <c r="P184" i="2"/>
  <c r="Q183" i="2"/>
  <c r="P183" i="2"/>
  <c r="Q182" i="2"/>
  <c r="P182" i="2"/>
  <c r="Q181" i="2"/>
  <c r="P181" i="2"/>
  <c r="Q180" i="2"/>
  <c r="P180" i="2"/>
  <c r="Q179" i="2"/>
  <c r="P179" i="2"/>
  <c r="Q178" i="2"/>
  <c r="P178" i="2"/>
  <c r="Q177" i="2"/>
  <c r="P177" i="2"/>
  <c r="Q176" i="2"/>
  <c r="P176" i="2"/>
  <c r="Q175" i="2"/>
  <c r="P175" i="2"/>
  <c r="Q174" i="2"/>
  <c r="P174" i="2"/>
  <c r="Q173" i="2"/>
  <c r="P173" i="2"/>
  <c r="Q172" i="2"/>
  <c r="P172" i="2"/>
  <c r="Q171" i="2"/>
  <c r="P171" i="2"/>
  <c r="Q170" i="2"/>
  <c r="P170" i="2"/>
  <c r="Q169" i="2"/>
  <c r="P169" i="2"/>
  <c r="Q168" i="2"/>
  <c r="P168" i="2"/>
  <c r="Q167" i="2"/>
  <c r="P167" i="2"/>
  <c r="Q166" i="2"/>
  <c r="P166" i="2"/>
  <c r="Q165" i="2"/>
  <c r="P165" i="2"/>
  <c r="Q164" i="2"/>
  <c r="P164" i="2"/>
  <c r="Q163" i="2"/>
  <c r="P163" i="2"/>
  <c r="Q162" i="2"/>
  <c r="P162" i="2"/>
  <c r="Q161" i="2"/>
  <c r="P161" i="2"/>
  <c r="Q160" i="2"/>
  <c r="P160" i="2"/>
  <c r="Q159" i="2"/>
  <c r="P159" i="2"/>
  <c r="Q158" i="2"/>
  <c r="P158" i="2"/>
  <c r="Q157" i="2"/>
  <c r="P157" i="2"/>
  <c r="Q156" i="2"/>
  <c r="P156" i="2"/>
  <c r="Q155" i="2"/>
  <c r="P155" i="2"/>
  <c r="Q154" i="2"/>
  <c r="P154" i="2"/>
  <c r="Q153" i="2"/>
  <c r="P153" i="2"/>
  <c r="Q152" i="2"/>
  <c r="P152" i="2"/>
  <c r="Q151" i="2"/>
  <c r="P151" i="2"/>
  <c r="Q150" i="2"/>
  <c r="P150" i="2"/>
  <c r="Q149" i="2"/>
  <c r="P149" i="2"/>
  <c r="Q148" i="2"/>
  <c r="P148" i="2"/>
  <c r="Q147" i="2"/>
  <c r="P147" i="2"/>
  <c r="Q146" i="2"/>
  <c r="P146" i="2"/>
  <c r="Q145" i="2"/>
  <c r="P145" i="2"/>
  <c r="Q144" i="2"/>
  <c r="P144" i="2"/>
  <c r="Q143" i="2"/>
  <c r="P143" i="2"/>
  <c r="Q142" i="2"/>
  <c r="P142" i="2"/>
  <c r="Q141" i="2"/>
  <c r="P141" i="2"/>
  <c r="Q140" i="2"/>
  <c r="P140" i="2"/>
  <c r="Q139" i="2"/>
  <c r="P139" i="2"/>
  <c r="Q138" i="2"/>
  <c r="P138" i="2"/>
  <c r="Q137" i="2"/>
  <c r="P137" i="2"/>
  <c r="Q136" i="2"/>
  <c r="P136" i="2"/>
  <c r="Q135" i="2"/>
  <c r="P135" i="2"/>
  <c r="Q134" i="2"/>
  <c r="P134" i="2"/>
  <c r="Q133" i="2"/>
  <c r="P133" i="2"/>
  <c r="Q132" i="2"/>
  <c r="P132" i="2"/>
  <c r="Q131" i="2"/>
  <c r="P131" i="2"/>
  <c r="Q130" i="2"/>
  <c r="P130" i="2"/>
  <c r="Q129" i="2"/>
  <c r="P129" i="2"/>
  <c r="Q128" i="2"/>
  <c r="P128" i="2"/>
  <c r="Q127" i="2"/>
  <c r="P127" i="2"/>
  <c r="Q126" i="2"/>
  <c r="P126" i="2"/>
  <c r="Q125" i="2"/>
  <c r="P125" i="2"/>
  <c r="Q124" i="2"/>
  <c r="P124" i="2"/>
  <c r="Q123" i="2"/>
  <c r="P123" i="2"/>
  <c r="Q122" i="2"/>
  <c r="P122" i="2"/>
  <c r="Q121" i="2"/>
  <c r="P121" i="2"/>
  <c r="Q120" i="2"/>
  <c r="P120" i="2"/>
  <c r="Q119" i="2"/>
  <c r="P119" i="2"/>
  <c r="Q118" i="2"/>
  <c r="P118" i="2"/>
  <c r="Q117" i="2"/>
  <c r="P117" i="2"/>
  <c r="Q116" i="2"/>
  <c r="P116" i="2"/>
  <c r="Q115" i="2"/>
  <c r="P115" i="2"/>
  <c r="Q114" i="2"/>
  <c r="P114" i="2"/>
  <c r="Q113" i="2"/>
  <c r="P113" i="2"/>
  <c r="Q112" i="2"/>
  <c r="P112" i="2"/>
  <c r="Q111" i="2"/>
  <c r="P111" i="2"/>
  <c r="Q110" i="2"/>
  <c r="P110" i="2"/>
  <c r="Q109" i="2"/>
  <c r="P109" i="2"/>
  <c r="Q108" i="2"/>
  <c r="P108" i="2"/>
  <c r="Q107" i="2"/>
  <c r="P107" i="2"/>
  <c r="Q106" i="2"/>
  <c r="P106" i="2"/>
  <c r="Q105" i="2"/>
  <c r="P105" i="2"/>
  <c r="Q104" i="2"/>
  <c r="P104" i="2"/>
  <c r="Q103" i="2"/>
  <c r="P103" i="2"/>
  <c r="Q102" i="2"/>
  <c r="P102" i="2"/>
  <c r="Q101" i="2"/>
  <c r="P101" i="2"/>
  <c r="Q100" i="2"/>
  <c r="P100" i="2"/>
  <c r="Q99" i="2"/>
  <c r="P99" i="2"/>
  <c r="Q98" i="2"/>
  <c r="P98" i="2"/>
  <c r="Q97" i="2"/>
  <c r="P97" i="2"/>
  <c r="Q96" i="2"/>
  <c r="P96" i="2"/>
  <c r="Q95" i="2"/>
  <c r="P95" i="2"/>
  <c r="Q94" i="2"/>
  <c r="P94" i="2"/>
  <c r="Q93" i="2"/>
  <c r="P93" i="2"/>
  <c r="Q92" i="2"/>
  <c r="P92" i="2"/>
  <c r="Q91" i="2"/>
  <c r="P91" i="2"/>
  <c r="Q90" i="2"/>
  <c r="P90" i="2"/>
  <c r="Q89" i="2"/>
  <c r="P89" i="2"/>
  <c r="Q88" i="2"/>
  <c r="P88" i="2"/>
  <c r="Q87" i="2"/>
  <c r="P87" i="2"/>
  <c r="Q86" i="2"/>
  <c r="P86" i="2"/>
  <c r="Q85" i="2"/>
  <c r="P85" i="2"/>
  <c r="Q84" i="2"/>
  <c r="P84" i="2"/>
  <c r="Q83" i="2"/>
  <c r="P83" i="2"/>
  <c r="Q82" i="2"/>
  <c r="P82" i="2"/>
  <c r="Q81" i="2"/>
  <c r="P81" i="2"/>
  <c r="Q80" i="2"/>
  <c r="P80" i="2"/>
  <c r="Q79" i="2"/>
  <c r="P79" i="2"/>
  <c r="Q78" i="2"/>
  <c r="P78" i="2"/>
  <c r="Q77" i="2"/>
  <c r="P77" i="2"/>
  <c r="Q76" i="2"/>
  <c r="P76" i="2"/>
  <c r="Q75" i="2"/>
  <c r="P75" i="2"/>
  <c r="Q74" i="2"/>
  <c r="P74" i="2"/>
  <c r="Q73" i="2"/>
  <c r="P73" i="2"/>
  <c r="Q72" i="2"/>
  <c r="P72" i="2"/>
  <c r="Q71" i="2"/>
  <c r="P71" i="2"/>
  <c r="Q70" i="2"/>
  <c r="P70" i="2"/>
  <c r="Q69" i="2"/>
  <c r="P69" i="2"/>
  <c r="Q68" i="2"/>
  <c r="P68" i="2"/>
  <c r="Q67" i="2"/>
  <c r="P67" i="2"/>
  <c r="Q66" i="2"/>
  <c r="P66" i="2"/>
  <c r="Q65" i="2"/>
  <c r="P65" i="2"/>
  <c r="Q64" i="2"/>
  <c r="P64" i="2"/>
  <c r="Q63" i="2"/>
  <c r="P63" i="2"/>
  <c r="Q62" i="2"/>
  <c r="P62" i="2"/>
  <c r="Q61" i="2"/>
  <c r="P61" i="2"/>
  <c r="Q60" i="2"/>
  <c r="P60" i="2"/>
  <c r="Q59" i="2"/>
  <c r="P59" i="2"/>
  <c r="Q58" i="2"/>
  <c r="P58" i="2"/>
  <c r="Q57" i="2"/>
  <c r="P57" i="2"/>
  <c r="Q56" i="2"/>
  <c r="P56" i="2"/>
  <c r="Q55" i="2"/>
  <c r="P55" i="2"/>
  <c r="Q54" i="2"/>
  <c r="P54" i="2"/>
  <c r="Q53" i="2"/>
  <c r="P53" i="2"/>
  <c r="Q52" i="2"/>
  <c r="P52" i="2"/>
  <c r="Q51" i="2"/>
  <c r="P51" i="2"/>
  <c r="Q50" i="2"/>
  <c r="P50" i="2"/>
  <c r="Q49" i="2"/>
  <c r="P49" i="2"/>
  <c r="Q48" i="2"/>
  <c r="P48" i="2"/>
  <c r="Q47" i="2"/>
  <c r="P47" i="2"/>
  <c r="Q46" i="2"/>
  <c r="P46" i="2"/>
  <c r="Q45" i="2"/>
  <c r="P45" i="2"/>
  <c r="Q44" i="2"/>
  <c r="P44" i="2"/>
  <c r="Q43" i="2"/>
  <c r="P43" i="2"/>
  <c r="Q42" i="2"/>
  <c r="P42" i="2"/>
  <c r="Q41" i="2"/>
  <c r="P41" i="2"/>
  <c r="Q40" i="2"/>
  <c r="P40" i="2"/>
  <c r="Q39" i="2"/>
  <c r="P39" i="2"/>
  <c r="Q38" i="2"/>
  <c r="P38" i="2"/>
  <c r="Q37" i="2"/>
  <c r="P37" i="2"/>
  <c r="Q36" i="2"/>
  <c r="P36" i="2"/>
  <c r="Q35" i="2"/>
  <c r="P35" i="2"/>
  <c r="Q34" i="2"/>
  <c r="P34" i="2"/>
  <c r="Q33" i="2"/>
  <c r="P33" i="2"/>
  <c r="Q32" i="2"/>
  <c r="P32" i="2"/>
  <c r="Q31" i="2"/>
  <c r="P31" i="2"/>
  <c r="Q30" i="2"/>
  <c r="P30" i="2"/>
  <c r="Q29" i="2"/>
  <c r="P29" i="2"/>
  <c r="Q28" i="2"/>
  <c r="P28" i="2"/>
  <c r="Q27" i="2"/>
  <c r="P27" i="2"/>
  <c r="Q26" i="2"/>
  <c r="P26" i="2"/>
  <c r="Q25" i="2"/>
  <c r="P25" i="2"/>
  <c r="Q24" i="2"/>
  <c r="P24" i="2"/>
  <c r="Q23" i="2"/>
  <c r="P23" i="2"/>
  <c r="Q22" i="2"/>
  <c r="P22" i="2"/>
  <c r="Q21" i="2"/>
  <c r="P21" i="2"/>
  <c r="Q20" i="2"/>
  <c r="P20" i="2"/>
  <c r="Q19" i="2"/>
  <c r="P19" i="2"/>
  <c r="Q18" i="2"/>
  <c r="P18" i="2"/>
  <c r="Q17" i="2"/>
  <c r="P17" i="2"/>
  <c r="Q16" i="2"/>
  <c r="P16" i="2"/>
  <c r="Q15" i="2"/>
  <c r="P15" i="2"/>
  <c r="Q14" i="2"/>
  <c r="P14" i="2"/>
  <c r="Q13" i="2"/>
  <c r="P13" i="2"/>
  <c r="Q12" i="2"/>
  <c r="P12" i="2"/>
  <c r="Q11" i="2"/>
  <c r="P11" i="2"/>
  <c r="Q10" i="2"/>
  <c r="P10" i="2"/>
  <c r="Q9" i="2"/>
  <c r="P9" i="2"/>
  <c r="Q8" i="2"/>
  <c r="P8" i="2"/>
  <c r="Q7" i="2"/>
  <c r="P7" i="2"/>
  <c r="Q6" i="2"/>
  <c r="P6" i="2"/>
  <c r="Q5" i="2"/>
  <c r="P5" i="2"/>
  <c r="Q4" i="2"/>
  <c r="P4" i="2"/>
  <c r="Q3" i="2"/>
  <c r="P3" i="2"/>
  <c r="Q2" i="2"/>
  <c r="P2" i="2"/>
  <c r="R17" i="7"/>
  <c r="I6" i="7" l="1"/>
</calcChain>
</file>

<file path=xl/sharedStrings.xml><?xml version="1.0" encoding="utf-8"?>
<sst xmlns="http://schemas.openxmlformats.org/spreadsheetml/2006/main" count="11201" uniqueCount="3161">
  <si>
    <t>Total Headcount</t>
  </si>
  <si>
    <t>Employees Exited</t>
  </si>
  <si>
    <t>Attrition Rate</t>
  </si>
  <si>
    <t>Department</t>
  </si>
  <si>
    <t>OverTime</t>
  </si>
  <si>
    <t>Sales</t>
  </si>
  <si>
    <t>Yes</t>
  </si>
  <si>
    <t>IT</t>
  </si>
  <si>
    <t>No</t>
  </si>
  <si>
    <t>HR</t>
  </si>
  <si>
    <t>Finance</t>
  </si>
  <si>
    <t>Operations</t>
  </si>
  <si>
    <t>Marketing</t>
  </si>
  <si>
    <t>EmployeeID</t>
  </si>
  <si>
    <t>Name</t>
  </si>
  <si>
    <t>JobRole</t>
  </si>
  <si>
    <t>Gender</t>
  </si>
  <si>
    <t>Age</t>
  </si>
  <si>
    <t>MaritalStatus</t>
  </si>
  <si>
    <t>DateOfJoining</t>
  </si>
  <si>
    <t>DateOfExit</t>
  </si>
  <si>
    <t>Attrition</t>
  </si>
  <si>
    <t>MonthlyIncome</t>
  </si>
  <si>
    <t>PerformanceRating</t>
  </si>
  <si>
    <t>JobSatisfaction</t>
  </si>
  <si>
    <t>DistanceFromHome</t>
  </si>
  <si>
    <t>TenureYears</t>
  </si>
  <si>
    <t>FlightRisk</t>
  </si>
  <si>
    <t>E1001</t>
  </si>
  <si>
    <t>Manoj Mehta</t>
  </si>
  <si>
    <t>Marketing Executive</t>
  </si>
  <si>
    <t>Male</t>
  </si>
  <si>
    <t>Single</t>
  </si>
  <si>
    <t>2016-07-25</t>
  </si>
  <si>
    <t>2019-03-07</t>
  </si>
  <si>
    <t>E1002</t>
  </si>
  <si>
    <t>Sunil Gupta</t>
  </si>
  <si>
    <t>IT Support</t>
  </si>
  <si>
    <t>2019-09-15</t>
  </si>
  <si>
    <t>E1003</t>
  </si>
  <si>
    <t>Karan Reddy</t>
  </si>
  <si>
    <t>HR Manager</t>
  </si>
  <si>
    <t>2016-01-15</t>
  </si>
  <si>
    <t>E1004</t>
  </si>
  <si>
    <t>Anjali Bose</t>
  </si>
  <si>
    <t>Operations Executive</t>
  </si>
  <si>
    <t>Female</t>
  </si>
  <si>
    <t>2024-04-20</t>
  </si>
  <si>
    <t>2025-02-07</t>
  </si>
  <si>
    <t>E1005</t>
  </si>
  <si>
    <t>Suresh Chopra</t>
  </si>
  <si>
    <t>HR Executive</t>
  </si>
  <si>
    <t>2020-02-01</t>
  </si>
  <si>
    <t>E1006</t>
  </si>
  <si>
    <t>Ashok Joshi</t>
  </si>
  <si>
    <t>Content Specialist</t>
  </si>
  <si>
    <t>Divorced</t>
  </si>
  <si>
    <t>2023-03-06</t>
  </si>
  <si>
    <t>E1007</t>
  </si>
  <si>
    <t>Neha Mehta</t>
  </si>
  <si>
    <t>2024-01-11</t>
  </si>
  <si>
    <t>E1008</t>
  </si>
  <si>
    <t>Swati Kapoor</t>
  </si>
  <si>
    <t>2017-12-20</t>
  </si>
  <si>
    <t>E1009</t>
  </si>
  <si>
    <t>Divya Singh</t>
  </si>
  <si>
    <t>Operations Manager</t>
  </si>
  <si>
    <t>2020-07-14</t>
  </si>
  <si>
    <t>E1010</t>
  </si>
  <si>
    <t>Nikhil Chopra</t>
  </si>
  <si>
    <t>Finance Manager</t>
  </si>
  <si>
    <t>2020-12-07</t>
  </si>
  <si>
    <t>E1011</t>
  </si>
  <si>
    <t>Pooja Nair</t>
  </si>
  <si>
    <t>2016-10-09</t>
  </si>
  <si>
    <t>E1012</t>
  </si>
  <si>
    <t>Arjun Iyer</t>
  </si>
  <si>
    <t>Recruiter</t>
  </si>
  <si>
    <t>Married</t>
  </si>
  <si>
    <t>2021-01-18</t>
  </si>
  <si>
    <t>2026-06-03</t>
  </si>
  <si>
    <t>E1013</t>
  </si>
  <si>
    <t>Amit Mehta</t>
  </si>
  <si>
    <t>2015-11-19</t>
  </si>
  <si>
    <t>2021-05-17</t>
  </si>
  <si>
    <t>E1014</t>
  </si>
  <si>
    <t>Payal Bhatt</t>
  </si>
  <si>
    <t>2017-05-17</t>
  </si>
  <si>
    <t>E1015</t>
  </si>
  <si>
    <t>Sanjay Mehta</t>
  </si>
  <si>
    <t>2018-10-16</t>
  </si>
  <si>
    <t>2026-01-11</t>
  </si>
  <si>
    <t>E1016</t>
  </si>
  <si>
    <t>Amit Reddy</t>
  </si>
  <si>
    <t>Sales Executive</t>
  </si>
  <si>
    <t>2020-10-06</t>
  </si>
  <si>
    <t>E1017</t>
  </si>
  <si>
    <t>Divya Das</t>
  </si>
  <si>
    <t>Logistics Coordinator</t>
  </si>
  <si>
    <t>2017-02-18</t>
  </si>
  <si>
    <t>E1018</t>
  </si>
  <si>
    <t>Amit Chopra</t>
  </si>
  <si>
    <t>Account Manager</t>
  </si>
  <si>
    <t>2023-12-24</t>
  </si>
  <si>
    <t>2024-08-27</t>
  </si>
  <si>
    <t>E1019</t>
  </si>
  <si>
    <t>Vikram Kapoor</t>
  </si>
  <si>
    <t>2016-02-06</t>
  </si>
  <si>
    <t>2021-09-16</t>
  </si>
  <si>
    <t>E1020</t>
  </si>
  <si>
    <t>Neha Joshi</t>
  </si>
  <si>
    <t>Financial Analyst</t>
  </si>
  <si>
    <t>2015-01-09</t>
  </si>
  <si>
    <t>E1021</t>
  </si>
  <si>
    <t>Sneha Gupta</t>
  </si>
  <si>
    <t>2017-06-10</t>
  </si>
  <si>
    <t>2024-02-26</t>
  </si>
  <si>
    <t>E1022</t>
  </si>
  <si>
    <t>Amit Pillai</t>
  </si>
  <si>
    <t>2024-07-19</t>
  </si>
  <si>
    <t>E1023</t>
  </si>
  <si>
    <t>Ashok Patel</t>
  </si>
  <si>
    <t>2022-05-16</t>
  </si>
  <si>
    <t>E1024</t>
  </si>
  <si>
    <t>Sneha Nair</t>
  </si>
  <si>
    <t>System Analyst</t>
  </si>
  <si>
    <t>2018-07-19</t>
  </si>
  <si>
    <t>E1025</t>
  </si>
  <si>
    <t>Rajesh Rao</t>
  </si>
  <si>
    <t>2025-06-19</t>
  </si>
  <si>
    <t>2026-05-23</t>
  </si>
  <si>
    <t>E1026</t>
  </si>
  <si>
    <t>Sunil Nair</t>
  </si>
  <si>
    <t>Marketing Manager</t>
  </si>
  <si>
    <t>2024-11-05</t>
  </si>
  <si>
    <t>2025-08-07</t>
  </si>
  <si>
    <t>E1027</t>
  </si>
  <si>
    <t>Manoj Pillai</t>
  </si>
  <si>
    <t>2017-10-25</t>
  </si>
  <si>
    <t>2021-09-20</t>
  </si>
  <si>
    <t>E1028</t>
  </si>
  <si>
    <t>Kavita Kapoor</t>
  </si>
  <si>
    <t>2022-11-30</t>
  </si>
  <si>
    <t>E1029</t>
  </si>
  <si>
    <t>Seema Bose</t>
  </si>
  <si>
    <t>2019-10-27</t>
  </si>
  <si>
    <t>2022-10-13</t>
  </si>
  <si>
    <t>E1030</t>
  </si>
  <si>
    <t>Ritu Malhotra</t>
  </si>
  <si>
    <t>2025-05-19</t>
  </si>
  <si>
    <t>E1031</t>
  </si>
  <si>
    <t>Manoj Joshi</t>
  </si>
  <si>
    <t>2019-04-16</t>
  </si>
  <si>
    <t>E1032</t>
  </si>
  <si>
    <t>Karan Chopra</t>
  </si>
  <si>
    <t>Software Engineer</t>
  </si>
  <si>
    <t>2018-02-15</t>
  </si>
  <si>
    <t>E1033</t>
  </si>
  <si>
    <t>Suresh Rao</t>
  </si>
  <si>
    <t>2021-07-06</t>
  </si>
  <si>
    <t>E1034</t>
  </si>
  <si>
    <t>Nikhil Chauhan</t>
  </si>
  <si>
    <t>2017-11-09</t>
  </si>
  <si>
    <t>E1035</t>
  </si>
  <si>
    <t>Ajay Malhotra</t>
  </si>
  <si>
    <t>2022-06-13</t>
  </si>
  <si>
    <t>E1036</t>
  </si>
  <si>
    <t>Nisha Reddy</t>
  </si>
  <si>
    <t>2022-10-26</t>
  </si>
  <si>
    <t>E1037</t>
  </si>
  <si>
    <t>Swati Bose</t>
  </si>
  <si>
    <t>2018-05-29</t>
  </si>
  <si>
    <t>E1038</t>
  </si>
  <si>
    <t>Rajesh Das</t>
  </si>
  <si>
    <t>2022-05-22</t>
  </si>
  <si>
    <t>E1039</t>
  </si>
  <si>
    <t>Rahul Verma</t>
  </si>
  <si>
    <t>2020-04-30</t>
  </si>
  <si>
    <t>E1040</t>
  </si>
  <si>
    <t>Komal Chopra</t>
  </si>
  <si>
    <t>2016-08-27</t>
  </si>
  <si>
    <t>E1041</t>
  </si>
  <si>
    <t>Neha Bose</t>
  </si>
  <si>
    <t>2025-04-15</t>
  </si>
  <si>
    <t>E1042</t>
  </si>
  <si>
    <t>Nidhi Pillai</t>
  </si>
  <si>
    <t>2024-04-25</t>
  </si>
  <si>
    <t>E1043</t>
  </si>
  <si>
    <t>Divya Rao</t>
  </si>
  <si>
    <t>2015-11-14</t>
  </si>
  <si>
    <t>2017-09-21</t>
  </si>
  <si>
    <t>E1044</t>
  </si>
  <si>
    <t>Karan Patel</t>
  </si>
  <si>
    <t>2019-07-28</t>
  </si>
  <si>
    <t>E1045</t>
  </si>
  <si>
    <t>Prakash Chopra</t>
  </si>
  <si>
    <t>2015-01-25</t>
  </si>
  <si>
    <t>E1046</t>
  </si>
  <si>
    <t>2020-06-12</t>
  </si>
  <si>
    <t>E1047</t>
  </si>
  <si>
    <t>2022-06-08</t>
  </si>
  <si>
    <t>2024-06-07</t>
  </si>
  <si>
    <t>E1048</t>
  </si>
  <si>
    <t>Rekha Chopra</t>
  </si>
  <si>
    <t>2023-06-08</t>
  </si>
  <si>
    <t>E1049</t>
  </si>
  <si>
    <t>Vikram Verma</t>
  </si>
  <si>
    <t>Sales Manager</t>
  </si>
  <si>
    <t>2017-10-09</t>
  </si>
  <si>
    <t>E1050</t>
  </si>
  <si>
    <t>Vivek Rao</t>
  </si>
  <si>
    <t>2016-11-18</t>
  </si>
  <si>
    <t>2020-07-17</t>
  </si>
  <si>
    <t>E1051</t>
  </si>
  <si>
    <t>Swati Gupta</t>
  </si>
  <si>
    <t>2021-08-22</t>
  </si>
  <si>
    <t>E1052</t>
  </si>
  <si>
    <t>Ajay Bose</t>
  </si>
  <si>
    <t>2022-06-02</t>
  </si>
  <si>
    <t>E1053</t>
  </si>
  <si>
    <t>Rita Singh</t>
  </si>
  <si>
    <t>2016-12-22</t>
  </si>
  <si>
    <t>E1054</t>
  </si>
  <si>
    <t>Rekha Mehta</t>
  </si>
  <si>
    <t>2018-02-16</t>
  </si>
  <si>
    <t>E1055</t>
  </si>
  <si>
    <t>Kavita Das</t>
  </si>
  <si>
    <t>2018-12-24</t>
  </si>
  <si>
    <t>E1056</t>
  </si>
  <si>
    <t>Sanjay Malhotra</t>
  </si>
  <si>
    <t>2021-03-24</t>
  </si>
  <si>
    <t>2022-08-19</t>
  </si>
  <si>
    <t>E1057</t>
  </si>
  <si>
    <t>Deepak Chauhan</t>
  </si>
  <si>
    <t>2020-04-22</t>
  </si>
  <si>
    <t>E1058</t>
  </si>
  <si>
    <t>Divya Kumar</t>
  </si>
  <si>
    <t>2018-07-16</t>
  </si>
  <si>
    <t>E1059</t>
  </si>
  <si>
    <t>Pooja Gupta</t>
  </si>
  <si>
    <t>2017-07-20</t>
  </si>
  <si>
    <t>2018-04-29</t>
  </si>
  <si>
    <t>E1060</t>
  </si>
  <si>
    <t>Gaurav Kumar</t>
  </si>
  <si>
    <t>2021-06-09</t>
  </si>
  <si>
    <t>2026-06-07</t>
  </si>
  <si>
    <t>E1061</t>
  </si>
  <si>
    <t>Nikhil Das</t>
  </si>
  <si>
    <t>2021-06-21</t>
  </si>
  <si>
    <t>E1062</t>
  </si>
  <si>
    <t>Sunil Malhotra</t>
  </si>
  <si>
    <t>2023-09-13</t>
  </si>
  <si>
    <t>E1063</t>
  </si>
  <si>
    <t>Ashok Kumar</t>
  </si>
  <si>
    <t>2022-01-06</t>
  </si>
  <si>
    <t>2022-03-12</t>
  </si>
  <si>
    <t>E1064</t>
  </si>
  <si>
    <t>Anita Verma</t>
  </si>
  <si>
    <t>Accountant</t>
  </si>
  <si>
    <t>2018-03-26</t>
  </si>
  <si>
    <t>E1065</t>
  </si>
  <si>
    <t>Ravi Kumar</t>
  </si>
  <si>
    <t>2017-07-09</t>
  </si>
  <si>
    <t>E1066</t>
  </si>
  <si>
    <t>Rita Kumar</t>
  </si>
  <si>
    <t>2022-09-21</t>
  </si>
  <si>
    <t>E1067</t>
  </si>
  <si>
    <t>Rekha Bhatt</t>
  </si>
  <si>
    <t>2015-04-16</t>
  </si>
  <si>
    <t>E1068</t>
  </si>
  <si>
    <t>Gaurav Pillai</t>
  </si>
  <si>
    <t>2025-04-10</t>
  </si>
  <si>
    <t>E1069</t>
  </si>
  <si>
    <t>Rekha Reddy</t>
  </si>
  <si>
    <t>2024-08-14</t>
  </si>
  <si>
    <t>E1070</t>
  </si>
  <si>
    <t>Anjali Reddy</t>
  </si>
  <si>
    <t>2018-08-17</t>
  </si>
  <si>
    <t>E1071</t>
  </si>
  <si>
    <t>Nidhi Das</t>
  </si>
  <si>
    <t>2023-07-10</t>
  </si>
  <si>
    <t>E1072</t>
  </si>
  <si>
    <t>Rahul Bhatt</t>
  </si>
  <si>
    <t>2022-12-17</t>
  </si>
  <si>
    <t>2023-10-05</t>
  </si>
  <si>
    <t>E1073</t>
  </si>
  <si>
    <t>Gaurav Nair</t>
  </si>
  <si>
    <t>2022-11-29</t>
  </si>
  <si>
    <t>2024-02-22</t>
  </si>
  <si>
    <t>E1074</t>
  </si>
  <si>
    <t>Vikram Rao</t>
  </si>
  <si>
    <t>2018-10-24</t>
  </si>
  <si>
    <t>E1075</t>
  </si>
  <si>
    <t>Sneha Kapoor</t>
  </si>
  <si>
    <t>2020-06-06</t>
  </si>
  <si>
    <t>E1076</t>
  </si>
  <si>
    <t>Divya Malhotra</t>
  </si>
  <si>
    <t>2018-07-27</t>
  </si>
  <si>
    <t>E1077</t>
  </si>
  <si>
    <t>Rajesh Chauhan</t>
  </si>
  <si>
    <t>2024-10-02</t>
  </si>
  <si>
    <t>2025-04-27</t>
  </si>
  <si>
    <t>E1078</t>
  </si>
  <si>
    <t>Vikram Das</t>
  </si>
  <si>
    <t>2018-10-18</t>
  </si>
  <si>
    <t>E1079</t>
  </si>
  <si>
    <t>Ritu Verma</t>
  </si>
  <si>
    <t>2017-08-19</t>
  </si>
  <si>
    <t>E1080</t>
  </si>
  <si>
    <t>Kavita Nair</t>
  </si>
  <si>
    <t>2015-07-08</t>
  </si>
  <si>
    <t>2021-08-20</t>
  </si>
  <si>
    <t>E1081</t>
  </si>
  <si>
    <t>Rohan Joshi</t>
  </si>
  <si>
    <t>2021-11-01</t>
  </si>
  <si>
    <t>2024-08-01</t>
  </si>
  <si>
    <t>E1082</t>
  </si>
  <si>
    <t>Shweta Sharma</t>
  </si>
  <si>
    <t>2025-02-08</t>
  </si>
  <si>
    <t>E1083</t>
  </si>
  <si>
    <t>Shweta Kapoor</t>
  </si>
  <si>
    <t>2017-03-26</t>
  </si>
  <si>
    <t>E1084</t>
  </si>
  <si>
    <t>Priya Chopra</t>
  </si>
  <si>
    <t>2015-02-03</t>
  </si>
  <si>
    <t>E1085</t>
  </si>
  <si>
    <t>Divya Gupta</t>
  </si>
  <si>
    <t>2022-08-08</t>
  </si>
  <si>
    <t>2025-03-27</t>
  </si>
  <si>
    <t>E1086</t>
  </si>
  <si>
    <t>Sneha Patel</t>
  </si>
  <si>
    <t>2018-08-31</t>
  </si>
  <si>
    <t>E1087</t>
  </si>
  <si>
    <t>Kavita Rao</t>
  </si>
  <si>
    <t>2024-01-17</t>
  </si>
  <si>
    <t>E1088</t>
  </si>
  <si>
    <t>Ritu Iyer</t>
  </si>
  <si>
    <t>2023-11-13</t>
  </si>
  <si>
    <t>E1089</t>
  </si>
  <si>
    <t>Sunita Kumar</t>
  </si>
  <si>
    <t>2020-04-15</t>
  </si>
  <si>
    <t>2025-08-28</t>
  </si>
  <si>
    <t>E1090</t>
  </si>
  <si>
    <t>Pooja Singh</t>
  </si>
  <si>
    <t>2015-06-02</t>
  </si>
  <si>
    <t>2020-09-01</t>
  </si>
  <si>
    <t>E1091</t>
  </si>
  <si>
    <t>Seema Singh</t>
  </si>
  <si>
    <t>2022-05-06</t>
  </si>
  <si>
    <t>E1092</t>
  </si>
  <si>
    <t>Divya Iyer</t>
  </si>
  <si>
    <t>2022-09-09</t>
  </si>
  <si>
    <t>E1093</t>
  </si>
  <si>
    <t>Ashok Sharma</t>
  </si>
  <si>
    <t>2023-10-28</t>
  </si>
  <si>
    <t>2024-08-04</t>
  </si>
  <si>
    <t>E1094</t>
  </si>
  <si>
    <t>2024-08-17</t>
  </si>
  <si>
    <t>2024-11-11</t>
  </si>
  <si>
    <t>E1095</t>
  </si>
  <si>
    <t>Divya Chauhan</t>
  </si>
  <si>
    <t>2015-03-06</t>
  </si>
  <si>
    <t>E1096</t>
  </si>
  <si>
    <t>Payal Chauhan</t>
  </si>
  <si>
    <t>2020-01-26</t>
  </si>
  <si>
    <t>E1097</t>
  </si>
  <si>
    <t>Swati Malhotra</t>
  </si>
  <si>
    <t>2020-07-01</t>
  </si>
  <si>
    <t>2022-01-28</t>
  </si>
  <si>
    <t>E1098</t>
  </si>
  <si>
    <t>Swati Bhatt</t>
  </si>
  <si>
    <t>2018-04-22</t>
  </si>
  <si>
    <t>2025-10-23</t>
  </si>
  <si>
    <t>E1099</t>
  </si>
  <si>
    <t>Ravi Kapoor</t>
  </si>
  <si>
    <t>2019-08-22</t>
  </si>
  <si>
    <t>E1100</t>
  </si>
  <si>
    <t>Sunita Singh</t>
  </si>
  <si>
    <t>2015-10-02</t>
  </si>
  <si>
    <t>E1101</t>
  </si>
  <si>
    <t>Prakash Bose</t>
  </si>
  <si>
    <t>2018-09-12</t>
  </si>
  <si>
    <t>E1102</t>
  </si>
  <si>
    <t>Nidhi Nair</t>
  </si>
  <si>
    <t>2016-02-29</t>
  </si>
  <si>
    <t>E1103</t>
  </si>
  <si>
    <t>Pooja Rao</t>
  </si>
  <si>
    <t>2017-07-15</t>
  </si>
  <si>
    <t>E1104</t>
  </si>
  <si>
    <t>Priya Joshi</t>
  </si>
  <si>
    <t>2022-11-18</t>
  </si>
  <si>
    <t>E1105</t>
  </si>
  <si>
    <t>Rahul Patel</t>
  </si>
  <si>
    <t>2017-05-31</t>
  </si>
  <si>
    <t>E1106</t>
  </si>
  <si>
    <t>Amit Singh</t>
  </si>
  <si>
    <t>2023-06-18</t>
  </si>
  <si>
    <t>E1107</t>
  </si>
  <si>
    <t>Meena Pillai</t>
  </si>
  <si>
    <t>2018-11-14</t>
  </si>
  <si>
    <t>E1108</t>
  </si>
  <si>
    <t>Rahul Gupta</t>
  </si>
  <si>
    <t>2017-05-15</t>
  </si>
  <si>
    <t>E1109</t>
  </si>
  <si>
    <t>Nikhil Bose</t>
  </si>
  <si>
    <t>2020-08-11</t>
  </si>
  <si>
    <t>2020-12-25</t>
  </si>
  <si>
    <t>E1110</t>
  </si>
  <si>
    <t>Seema Malhotra</t>
  </si>
  <si>
    <t>2019-07-15</t>
  </si>
  <si>
    <t>E1111</t>
  </si>
  <si>
    <t>Sunita Patel</t>
  </si>
  <si>
    <t>2024-06-21</t>
  </si>
  <si>
    <t>E1112</t>
  </si>
  <si>
    <t>Divya Reddy</t>
  </si>
  <si>
    <t>2015-11-09</t>
  </si>
  <si>
    <t>E1113</t>
  </si>
  <si>
    <t>Suresh Singh</t>
  </si>
  <si>
    <t>2017-03-19</t>
  </si>
  <si>
    <t>E1114</t>
  </si>
  <si>
    <t>Seema Bhatt</t>
  </si>
  <si>
    <t>2024-09-09</t>
  </si>
  <si>
    <t>E1115</t>
  </si>
  <si>
    <t>Ajay Pillai</t>
  </si>
  <si>
    <t>2018-06-25</t>
  </si>
  <si>
    <t>2019-08-28</t>
  </si>
  <si>
    <t>E1116</t>
  </si>
  <si>
    <t>Rita Chauhan</t>
  </si>
  <si>
    <t>2023-11-18</t>
  </si>
  <si>
    <t>2025-05-18</t>
  </si>
  <si>
    <t>E1117</t>
  </si>
  <si>
    <t>Vivek Kumar</t>
  </si>
  <si>
    <t>2023-01-04</t>
  </si>
  <si>
    <t>E1118</t>
  </si>
  <si>
    <t>Ajay Iyer</t>
  </si>
  <si>
    <t>2019-05-06</t>
  </si>
  <si>
    <t>E1119</t>
  </si>
  <si>
    <t>Sunil Chopra</t>
  </si>
  <si>
    <t>2017-10-29</t>
  </si>
  <si>
    <t>E1120</t>
  </si>
  <si>
    <t>Sneha Bhatt</t>
  </si>
  <si>
    <t>2018-06-22</t>
  </si>
  <si>
    <t>E1121</t>
  </si>
  <si>
    <t>Payal Iyer</t>
  </si>
  <si>
    <t>2019-01-25</t>
  </si>
  <si>
    <t>E1122</t>
  </si>
  <si>
    <t>Pooja Pillai</t>
  </si>
  <si>
    <t>2024-05-13</t>
  </si>
  <si>
    <t>2025-08-01</t>
  </si>
  <si>
    <t>E1123</t>
  </si>
  <si>
    <t>2015-06-28</t>
  </si>
  <si>
    <t>E1124</t>
  </si>
  <si>
    <t>Deepak Das</t>
  </si>
  <si>
    <t>2019-02-15</t>
  </si>
  <si>
    <t>E1125</t>
  </si>
  <si>
    <t>Kavita Gupta</t>
  </si>
  <si>
    <t>2024-10-15</t>
  </si>
  <si>
    <t>E1126</t>
  </si>
  <si>
    <t>Anjali Joshi</t>
  </si>
  <si>
    <t>2020-01-15</t>
  </si>
  <si>
    <t>E1127</t>
  </si>
  <si>
    <t>Neha Chopra</t>
  </si>
  <si>
    <t>2019-03-12</t>
  </si>
  <si>
    <t>E1128</t>
  </si>
  <si>
    <t>Sneha Singh</t>
  </si>
  <si>
    <t>2018-03-21</t>
  </si>
  <si>
    <t>2019-04-09</t>
  </si>
  <si>
    <t>E1129</t>
  </si>
  <si>
    <t>Arjun Bose</t>
  </si>
  <si>
    <t>2019-09-30</t>
  </si>
  <si>
    <t>2025-01-13</t>
  </si>
  <si>
    <t>E1130</t>
  </si>
  <si>
    <t>Nidhi Bose</t>
  </si>
  <si>
    <t>2022-02-01</t>
  </si>
  <si>
    <t>E1131</t>
  </si>
  <si>
    <t>Kavita Patel</t>
  </si>
  <si>
    <t>2019-01-17</t>
  </si>
  <si>
    <t>E1132</t>
  </si>
  <si>
    <t>Nikhil Iyer</t>
  </si>
  <si>
    <t>2023-05-20</t>
  </si>
  <si>
    <t>E1133</t>
  </si>
  <si>
    <t>Sneha Verma</t>
  </si>
  <si>
    <t>2021-02-14</t>
  </si>
  <si>
    <t>2022-01-16</t>
  </si>
  <si>
    <t>E1134</t>
  </si>
  <si>
    <t>Neha Nair</t>
  </si>
  <si>
    <t>2015-06-29</t>
  </si>
  <si>
    <t>E1135</t>
  </si>
  <si>
    <t>Neha Gupta</t>
  </si>
  <si>
    <t>2019-01-02</t>
  </si>
  <si>
    <t>E1136</t>
  </si>
  <si>
    <t>Swati Reddy</t>
  </si>
  <si>
    <t>2020-07-25</t>
  </si>
  <si>
    <t>E1137</t>
  </si>
  <si>
    <t>2016-02-25</t>
  </si>
  <si>
    <t>E1138</t>
  </si>
  <si>
    <t>Rita Verma</t>
  </si>
  <si>
    <t>2021-11-23</t>
  </si>
  <si>
    <t>E1139</t>
  </si>
  <si>
    <t>Rahul Singh</t>
  </si>
  <si>
    <t>2015-05-23</t>
  </si>
  <si>
    <t>2017-04-10</t>
  </si>
  <si>
    <t>E1140</t>
  </si>
  <si>
    <t>Sunita Kapoor</t>
  </si>
  <si>
    <t>2021-06-08</t>
  </si>
  <si>
    <t>2022-03-27</t>
  </si>
  <si>
    <t>E1141</t>
  </si>
  <si>
    <t>2025-03-30</t>
  </si>
  <si>
    <t>E1142</t>
  </si>
  <si>
    <t>Arjun Patel</t>
  </si>
  <si>
    <t>2016-12-08</t>
  </si>
  <si>
    <t>E1143</t>
  </si>
  <si>
    <t>Anita Joshi</t>
  </si>
  <si>
    <t>2023-11-25</t>
  </si>
  <si>
    <t>2025-06-12</t>
  </si>
  <si>
    <t>E1144</t>
  </si>
  <si>
    <t>Rita Bose</t>
  </si>
  <si>
    <t>2021-11-11</t>
  </si>
  <si>
    <t>E1145</t>
  </si>
  <si>
    <t>Arjun Reddy</t>
  </si>
  <si>
    <t>2020-01-18</t>
  </si>
  <si>
    <t>E1146</t>
  </si>
  <si>
    <t>Payal Verma</t>
  </si>
  <si>
    <t>2020-10-23</t>
  </si>
  <si>
    <t>2024-02-28</t>
  </si>
  <si>
    <t>E1147</t>
  </si>
  <si>
    <t>Sunil Rao</t>
  </si>
  <si>
    <t>2022-01-04</t>
  </si>
  <si>
    <t>E1148</t>
  </si>
  <si>
    <t>Ashok Bhatt</t>
  </si>
  <si>
    <t>2024-06-13</t>
  </si>
  <si>
    <t>E1149</t>
  </si>
  <si>
    <t>Prakash Malhotra</t>
  </si>
  <si>
    <t>2020-08-01</t>
  </si>
  <si>
    <t>E1150</t>
  </si>
  <si>
    <t>Rita Patel</t>
  </si>
  <si>
    <t>2026-08-06</t>
  </si>
  <si>
    <t>E1151</t>
  </si>
  <si>
    <t>Swati Singh</t>
  </si>
  <si>
    <t>2020-10-10</t>
  </si>
  <si>
    <t>E1152</t>
  </si>
  <si>
    <t>Deepak Chopra</t>
  </si>
  <si>
    <t>2017-10-13</t>
  </si>
  <si>
    <t>2019-09-25</t>
  </si>
  <si>
    <t>E1153</t>
  </si>
  <si>
    <t>Komal Nair</t>
  </si>
  <si>
    <t>2015-04-05</t>
  </si>
  <si>
    <t>E1154</t>
  </si>
  <si>
    <t>Komal Bhatt</t>
  </si>
  <si>
    <t>2018-03-16</t>
  </si>
  <si>
    <t>E1155</t>
  </si>
  <si>
    <t>Nikhil Verma</t>
  </si>
  <si>
    <t>2021-04-20</t>
  </si>
  <si>
    <t>E1156</t>
  </si>
  <si>
    <t>Arjun Kumar</t>
  </si>
  <si>
    <t>2019-03-09</t>
  </si>
  <si>
    <t>E1157</t>
  </si>
  <si>
    <t>Amit Verma</t>
  </si>
  <si>
    <t>2023-01-01</t>
  </si>
  <si>
    <t>E1158</t>
  </si>
  <si>
    <t>Kavita Chopra</t>
  </si>
  <si>
    <t>2021-08-28</t>
  </si>
  <si>
    <t>2026-05-24</t>
  </si>
  <si>
    <t>E1159</t>
  </si>
  <si>
    <t>Pooja Malhotra</t>
  </si>
  <si>
    <t>2023-12-08</t>
  </si>
  <si>
    <t>E1160</t>
  </si>
  <si>
    <t>Amit Chauhan</t>
  </si>
  <si>
    <t>2016-11-29</t>
  </si>
  <si>
    <t>E1161</t>
  </si>
  <si>
    <t>Karan Sharma</t>
  </si>
  <si>
    <t>2018-07-08</t>
  </si>
  <si>
    <t>E1162</t>
  </si>
  <si>
    <t>Arjun Pillai</t>
  </si>
  <si>
    <t>2021-04-16</t>
  </si>
  <si>
    <t>E1163</t>
  </si>
  <si>
    <t>Shweta Bhatt</t>
  </si>
  <si>
    <t>2017-02-26</t>
  </si>
  <si>
    <t>E1164</t>
  </si>
  <si>
    <t>Rekha Das</t>
  </si>
  <si>
    <t>2021-04-14</t>
  </si>
  <si>
    <t>E1165</t>
  </si>
  <si>
    <t>Deepak Verma</t>
  </si>
  <si>
    <t>E1166</t>
  </si>
  <si>
    <t>Sneha Kumar</t>
  </si>
  <si>
    <t>2017-09-20</t>
  </si>
  <si>
    <t>2021-08-02</t>
  </si>
  <si>
    <t>E1167</t>
  </si>
  <si>
    <t>Arjun Sharma</t>
  </si>
  <si>
    <t>2025-06-02</t>
  </si>
  <si>
    <t>E1168</t>
  </si>
  <si>
    <t>Prakash Mehta</t>
  </si>
  <si>
    <t>2023-04-14</t>
  </si>
  <si>
    <t>E1169</t>
  </si>
  <si>
    <t>2015-02-07</t>
  </si>
  <si>
    <t>E1170</t>
  </si>
  <si>
    <t>Sneha Pillai</t>
  </si>
  <si>
    <t>2018-01-22</t>
  </si>
  <si>
    <t>E1171</t>
  </si>
  <si>
    <t>Anil Nair</t>
  </si>
  <si>
    <t>2022-07-25</t>
  </si>
  <si>
    <t>E1172</t>
  </si>
  <si>
    <t>Nikhil Kumar</t>
  </si>
  <si>
    <t>2016-07-29</t>
  </si>
  <si>
    <t>E1173</t>
  </si>
  <si>
    <t>Seema Chauhan</t>
  </si>
  <si>
    <t>2017-12-07</t>
  </si>
  <si>
    <t>2022-08-23</t>
  </si>
  <si>
    <t>E1174</t>
  </si>
  <si>
    <t>2021-11-22</t>
  </si>
  <si>
    <t>E1175</t>
  </si>
  <si>
    <t>Ritu Gupta</t>
  </si>
  <si>
    <t>2022-08-18</t>
  </si>
  <si>
    <t>E1176</t>
  </si>
  <si>
    <t>Sunil Pillai</t>
  </si>
  <si>
    <t>2021-06-03</t>
  </si>
  <si>
    <t>E1177</t>
  </si>
  <si>
    <t>Anjali Pillai</t>
  </si>
  <si>
    <t>2024-01-26</t>
  </si>
  <si>
    <t>2025-07-12</t>
  </si>
  <si>
    <t>E1178</t>
  </si>
  <si>
    <t>Nikhil Rao</t>
  </si>
  <si>
    <t>2023-05-13</t>
  </si>
  <si>
    <t>2023-11-12</t>
  </si>
  <si>
    <t>E1179</t>
  </si>
  <si>
    <t>Deepak Malhotra</t>
  </si>
  <si>
    <t>2023-08-16</t>
  </si>
  <si>
    <t>E1180</t>
  </si>
  <si>
    <t>Ajay Kumar</t>
  </si>
  <si>
    <t>2021-01-09</t>
  </si>
  <si>
    <t>E1181</t>
  </si>
  <si>
    <t>Ritu Chopra</t>
  </si>
  <si>
    <t>2017-10-10</t>
  </si>
  <si>
    <t>E1182</t>
  </si>
  <si>
    <t>Nidhi Sharma</t>
  </si>
  <si>
    <t>2017-04-24</t>
  </si>
  <si>
    <t>E1183</t>
  </si>
  <si>
    <t>Nikhil Kapoor</t>
  </si>
  <si>
    <t>2021-01-19</t>
  </si>
  <si>
    <t>E1184</t>
  </si>
  <si>
    <t>2017-08-28</t>
  </si>
  <si>
    <t>2024-01-24</t>
  </si>
  <si>
    <t>E1185</t>
  </si>
  <si>
    <t>Ravi Bose</t>
  </si>
  <si>
    <t>2015-07-12</t>
  </si>
  <si>
    <t>E1186</t>
  </si>
  <si>
    <t>Sunil Das</t>
  </si>
  <si>
    <t>2024-07-10</t>
  </si>
  <si>
    <t>E1187</t>
  </si>
  <si>
    <t>Nikhil Mehta</t>
  </si>
  <si>
    <t>2017-04-12</t>
  </si>
  <si>
    <t>E1188</t>
  </si>
  <si>
    <t>2024-10-18</t>
  </si>
  <si>
    <t>E1189</t>
  </si>
  <si>
    <t>Karan Gupta</t>
  </si>
  <si>
    <t>2023-05-18</t>
  </si>
  <si>
    <t>E1190</t>
  </si>
  <si>
    <t>Anita Chopra</t>
  </si>
  <si>
    <t>E1191</t>
  </si>
  <si>
    <t>Meena Iyer</t>
  </si>
  <si>
    <t>2019-08-23</t>
  </si>
  <si>
    <t>E1192</t>
  </si>
  <si>
    <t>Anita Singh</t>
  </si>
  <si>
    <t>2018-09-13</t>
  </si>
  <si>
    <t>E1193</t>
  </si>
  <si>
    <t>Komal Kapoor</t>
  </si>
  <si>
    <t>2023-03-21</t>
  </si>
  <si>
    <t>E1194</t>
  </si>
  <si>
    <t>Rajesh Verma</t>
  </si>
  <si>
    <t>2024-03-04</t>
  </si>
  <si>
    <t>2026-04-27</t>
  </si>
  <si>
    <t>E1195</t>
  </si>
  <si>
    <t>Rajesh Kapoor</t>
  </si>
  <si>
    <t>2015-09-05</t>
  </si>
  <si>
    <t>2022-01-10</t>
  </si>
  <si>
    <t>E1196</t>
  </si>
  <si>
    <t>2018-03-20</t>
  </si>
  <si>
    <t>E1197</t>
  </si>
  <si>
    <t>Sunita Rao</t>
  </si>
  <si>
    <t>2015-11-20</t>
  </si>
  <si>
    <t>E1198</t>
  </si>
  <si>
    <t>Vikram Chopra</t>
  </si>
  <si>
    <t>2019-03-25</t>
  </si>
  <si>
    <t>E1199</t>
  </si>
  <si>
    <t>Seema Kumar</t>
  </si>
  <si>
    <t>2025-04-22</t>
  </si>
  <si>
    <t>E1200</t>
  </si>
  <si>
    <t>Rohan Reddy</t>
  </si>
  <si>
    <t>2017-04-28</t>
  </si>
  <si>
    <t>E1201</t>
  </si>
  <si>
    <t>2020-08-13</t>
  </si>
  <si>
    <t>E1202</t>
  </si>
  <si>
    <t>Rekha Sharma</t>
  </si>
  <si>
    <t>2023-10-15</t>
  </si>
  <si>
    <t>E1203</t>
  </si>
  <si>
    <t>Anjali Bhatt</t>
  </si>
  <si>
    <t>2023-12-13</t>
  </si>
  <si>
    <t>E1204</t>
  </si>
  <si>
    <t>Rekha Iyer</t>
  </si>
  <si>
    <t>2016-01-10</t>
  </si>
  <si>
    <t>2017-03-02</t>
  </si>
  <si>
    <t>E1205</t>
  </si>
  <si>
    <t>Ritu Bose</t>
  </si>
  <si>
    <t>2019-07-30</t>
  </si>
  <si>
    <t>E1206</t>
  </si>
  <si>
    <t>2023-09-27</t>
  </si>
  <si>
    <t>E1207</t>
  </si>
  <si>
    <t>Anita Rao</t>
  </si>
  <si>
    <t>2016-08-20</t>
  </si>
  <si>
    <t>E1208</t>
  </si>
  <si>
    <t>Gaurav Bhatt</t>
  </si>
  <si>
    <t>2020-02-19</t>
  </si>
  <si>
    <t>E1209</t>
  </si>
  <si>
    <t>Nisha Bhatt</t>
  </si>
  <si>
    <t>2018-05-15</t>
  </si>
  <si>
    <t>E1210</t>
  </si>
  <si>
    <t>Seema Mehta</t>
  </si>
  <si>
    <t>2019-03-21</t>
  </si>
  <si>
    <t>2025-07-01</t>
  </si>
  <si>
    <t>E1211</t>
  </si>
  <si>
    <t>Vivek Gupta</t>
  </si>
  <si>
    <t>2023-12-12</t>
  </si>
  <si>
    <t>E1212</t>
  </si>
  <si>
    <t>Ravi Chopra</t>
  </si>
  <si>
    <t>2020-01-14</t>
  </si>
  <si>
    <t>E1213</t>
  </si>
  <si>
    <t>2016-03-23</t>
  </si>
  <si>
    <t>E1214</t>
  </si>
  <si>
    <t>Rekha Malhotra</t>
  </si>
  <si>
    <t>2015-02-13</t>
  </si>
  <si>
    <t>E1215</t>
  </si>
  <si>
    <t>2016-09-09</t>
  </si>
  <si>
    <t>E1216</t>
  </si>
  <si>
    <t>Ajay Nair</t>
  </si>
  <si>
    <t>2020-02-09</t>
  </si>
  <si>
    <t>E1217</t>
  </si>
  <si>
    <t>Anjali Nair</t>
  </si>
  <si>
    <t>2024-02-01</t>
  </si>
  <si>
    <t>E1218</t>
  </si>
  <si>
    <t>Sunil Joshi</t>
  </si>
  <si>
    <t>2021-04-12</t>
  </si>
  <si>
    <t>E1219</t>
  </si>
  <si>
    <t>Priya Bhatt</t>
  </si>
  <si>
    <t>2020-01-16</t>
  </si>
  <si>
    <t>E1220</t>
  </si>
  <si>
    <t>2018-08-28</t>
  </si>
  <si>
    <t>E1221</t>
  </si>
  <si>
    <t>Nidhi Chopra</t>
  </si>
  <si>
    <t>2018-11-26</t>
  </si>
  <si>
    <t>E1222</t>
  </si>
  <si>
    <t>2017-09-04</t>
  </si>
  <si>
    <t>2024-07-11</t>
  </si>
  <si>
    <t>E1223</t>
  </si>
  <si>
    <t>Nisha Joshi</t>
  </si>
  <si>
    <t>2022-02-16</t>
  </si>
  <si>
    <t>2024-01-21</t>
  </si>
  <si>
    <t>E1224</t>
  </si>
  <si>
    <t>Ajay Sharma</t>
  </si>
  <si>
    <t>2016-07-13</t>
  </si>
  <si>
    <t>E1225</t>
  </si>
  <si>
    <t>Komal Joshi</t>
  </si>
  <si>
    <t>2021-05-04</t>
  </si>
  <si>
    <t>E1226</t>
  </si>
  <si>
    <t>Ritu Pillai</t>
  </si>
  <si>
    <t>E1227</t>
  </si>
  <si>
    <t>2018-05-04</t>
  </si>
  <si>
    <t>E1228</t>
  </si>
  <si>
    <t>Prakash Iyer</t>
  </si>
  <si>
    <t>2016-11-10</t>
  </si>
  <si>
    <t>E1229</t>
  </si>
  <si>
    <t>E1230</t>
  </si>
  <si>
    <t>Arjun Mehta</t>
  </si>
  <si>
    <t>2022-12-23</t>
  </si>
  <si>
    <t>E1231</t>
  </si>
  <si>
    <t>2019-07-09</t>
  </si>
  <si>
    <t>E1232</t>
  </si>
  <si>
    <t>Vivek Iyer</t>
  </si>
  <si>
    <t>2023-12-04</t>
  </si>
  <si>
    <t>2024-11-18</t>
  </si>
  <si>
    <t>E1233</t>
  </si>
  <si>
    <t>Prakash Das</t>
  </si>
  <si>
    <t>2025-01-10</t>
  </si>
  <si>
    <t>2025-08-19</t>
  </si>
  <si>
    <t>E1234</t>
  </si>
  <si>
    <t>Ravi Gupta</t>
  </si>
  <si>
    <t>2024-11-22</t>
  </si>
  <si>
    <t>2026-02-05</t>
  </si>
  <si>
    <t>E1235</t>
  </si>
  <si>
    <t>2023-02-21</t>
  </si>
  <si>
    <t>2024-07-02</t>
  </si>
  <si>
    <t>E1236</t>
  </si>
  <si>
    <t>2022-08-17</t>
  </si>
  <si>
    <t>E1237</t>
  </si>
  <si>
    <t>Nikhil Patel</t>
  </si>
  <si>
    <t>2016-02-27</t>
  </si>
  <si>
    <t>E1238</t>
  </si>
  <si>
    <t>2021-11-04</t>
  </si>
  <si>
    <t>E1239</t>
  </si>
  <si>
    <t>Meena Patel</t>
  </si>
  <si>
    <t>2016-07-27</t>
  </si>
  <si>
    <t>E1240</t>
  </si>
  <si>
    <t>Sanjay Bose</t>
  </si>
  <si>
    <t>2023-09-26</t>
  </si>
  <si>
    <t>E1241</t>
  </si>
  <si>
    <t>2019-04-30</t>
  </si>
  <si>
    <t>E1242</t>
  </si>
  <si>
    <t>2021-02-15</t>
  </si>
  <si>
    <t>2022-07-01</t>
  </si>
  <si>
    <t>E1243</t>
  </si>
  <si>
    <t>Payal Nair</t>
  </si>
  <si>
    <t>2023-08-09</t>
  </si>
  <si>
    <t>E1244</t>
  </si>
  <si>
    <t>2024-01-23</t>
  </si>
  <si>
    <t>E1245</t>
  </si>
  <si>
    <t>Divya Verma</t>
  </si>
  <si>
    <t>2015-12-20</t>
  </si>
  <si>
    <t>2024-06-12</t>
  </si>
  <si>
    <t>E1246</t>
  </si>
  <si>
    <t>Suresh Sharma</t>
  </si>
  <si>
    <t>2022-11-13</t>
  </si>
  <si>
    <t>2025-02-11</t>
  </si>
  <si>
    <t>E1247</t>
  </si>
  <si>
    <t>Pooja Sharma</t>
  </si>
  <si>
    <t>2024-01-19</t>
  </si>
  <si>
    <t>E1248</t>
  </si>
  <si>
    <t>Neha Das</t>
  </si>
  <si>
    <t>2016-11-14</t>
  </si>
  <si>
    <t>2025-05-05</t>
  </si>
  <si>
    <t>E1249</t>
  </si>
  <si>
    <t>Rahul Mehta</t>
  </si>
  <si>
    <t>2020-04-16</t>
  </si>
  <si>
    <t>E1250</t>
  </si>
  <si>
    <t>2018-01-16</t>
  </si>
  <si>
    <t>E1251</t>
  </si>
  <si>
    <t>2024-09-17</t>
  </si>
  <si>
    <t>2025-06-09</t>
  </si>
  <si>
    <t>E1252</t>
  </si>
  <si>
    <t>Nidhi Mehta</t>
  </si>
  <si>
    <t>2019-02-17</t>
  </si>
  <si>
    <t>2023-11-22</t>
  </si>
  <si>
    <t>E1253</t>
  </si>
  <si>
    <t>Priya Reddy</t>
  </si>
  <si>
    <t>2023-07-06</t>
  </si>
  <si>
    <t>E1254</t>
  </si>
  <si>
    <t>Anjali Verma</t>
  </si>
  <si>
    <t>2025-01-23</t>
  </si>
  <si>
    <t>E1255</t>
  </si>
  <si>
    <t>Anjali Chauhan</t>
  </si>
  <si>
    <t>2015-09-13</t>
  </si>
  <si>
    <t>E1256</t>
  </si>
  <si>
    <t>Rekha Kapoor</t>
  </si>
  <si>
    <t>2017-08-14</t>
  </si>
  <si>
    <t>2022-10-28</t>
  </si>
  <si>
    <t>E1257</t>
  </si>
  <si>
    <t>Pooja Bose</t>
  </si>
  <si>
    <t>2023-08-22</t>
  </si>
  <si>
    <t>2026-01-24</t>
  </si>
  <si>
    <t>E1258</t>
  </si>
  <si>
    <t>2016-01-09</t>
  </si>
  <si>
    <t>E1259</t>
  </si>
  <si>
    <t>2017-10-20</t>
  </si>
  <si>
    <t>E1260</t>
  </si>
  <si>
    <t>2021-07-13</t>
  </si>
  <si>
    <t>E1261</t>
  </si>
  <si>
    <t>Pooja Verma</t>
  </si>
  <si>
    <t>2015-07-27</t>
  </si>
  <si>
    <t>E1262</t>
  </si>
  <si>
    <t>Meena Joshi</t>
  </si>
  <si>
    <t>2018-02-20</t>
  </si>
  <si>
    <t>2021-08-11</t>
  </si>
  <si>
    <t>E1263</t>
  </si>
  <si>
    <t>Neha Patel</t>
  </si>
  <si>
    <t>2019-04-18</t>
  </si>
  <si>
    <t>E1264</t>
  </si>
  <si>
    <t>Komal Bose</t>
  </si>
  <si>
    <t>2018-11-10</t>
  </si>
  <si>
    <t>2025-09-19</t>
  </si>
  <si>
    <t>E1265</t>
  </si>
  <si>
    <t>2019-01-04</t>
  </si>
  <si>
    <t>2025-02-26</t>
  </si>
  <si>
    <t>E1266</t>
  </si>
  <si>
    <t>2025-06-27</t>
  </si>
  <si>
    <t>E1267</t>
  </si>
  <si>
    <t>Ajay Chauhan</t>
  </si>
  <si>
    <t>2016-08-05</t>
  </si>
  <si>
    <t>E1268</t>
  </si>
  <si>
    <t>Ashok Mehta</t>
  </si>
  <si>
    <t>2020-11-26</t>
  </si>
  <si>
    <t>E1269</t>
  </si>
  <si>
    <t>2023-09-07</t>
  </si>
  <si>
    <t>E1270</t>
  </si>
  <si>
    <t>2016-07-12</t>
  </si>
  <si>
    <t>E1271</t>
  </si>
  <si>
    <t>2019-03-30</t>
  </si>
  <si>
    <t>E1272</t>
  </si>
  <si>
    <t>Rohan Bhatt</t>
  </si>
  <si>
    <t>2025-04-30</t>
  </si>
  <si>
    <t>E1273</t>
  </si>
  <si>
    <t>Sanjay Iyer</t>
  </si>
  <si>
    <t>2024-10-26</t>
  </si>
  <si>
    <t>E1274</t>
  </si>
  <si>
    <t>E1275</t>
  </si>
  <si>
    <t>2020-01-23</t>
  </si>
  <si>
    <t>E1276</t>
  </si>
  <si>
    <t>Nikhil Joshi</t>
  </si>
  <si>
    <t>2021-02-18</t>
  </si>
  <si>
    <t>E1277</t>
  </si>
  <si>
    <t>Ashok Malhotra</t>
  </si>
  <si>
    <t>2015-08-08</t>
  </si>
  <si>
    <t>E1278</t>
  </si>
  <si>
    <t>Anita Nair</t>
  </si>
  <si>
    <t>2016-01-28</t>
  </si>
  <si>
    <t>E1279</t>
  </si>
  <si>
    <t>2016-02-02</t>
  </si>
  <si>
    <t>2020-09-16</t>
  </si>
  <si>
    <t>E1280</t>
  </si>
  <si>
    <t>2017-01-27</t>
  </si>
  <si>
    <t>E1281</t>
  </si>
  <si>
    <t>Manoj Chauhan</t>
  </si>
  <si>
    <t>2016-09-11</t>
  </si>
  <si>
    <t>E1282</t>
  </si>
  <si>
    <t>Nikhil Pillai</t>
  </si>
  <si>
    <t>2021-01-02</t>
  </si>
  <si>
    <t>2026-03-25</t>
  </si>
  <si>
    <t>E1283</t>
  </si>
  <si>
    <t>Suresh Kapoor</t>
  </si>
  <si>
    <t>2016-11-15</t>
  </si>
  <si>
    <t>E1284</t>
  </si>
  <si>
    <t>Ashok Rao</t>
  </si>
  <si>
    <t>2025-03-19</t>
  </si>
  <si>
    <t>E1285</t>
  </si>
  <si>
    <t>2023-10-07</t>
  </si>
  <si>
    <t>E1286</t>
  </si>
  <si>
    <t>Deepak Bose</t>
  </si>
  <si>
    <t>2024-11-04</t>
  </si>
  <si>
    <t>2025-10-12</t>
  </si>
  <si>
    <t>E1287</t>
  </si>
  <si>
    <t>2022-09-29</t>
  </si>
  <si>
    <t>E1288</t>
  </si>
  <si>
    <t>Komal Kumar</t>
  </si>
  <si>
    <t>2016-07-04</t>
  </si>
  <si>
    <t>E1289</t>
  </si>
  <si>
    <t>Meena Malhotra</t>
  </si>
  <si>
    <t>2023-07-08</t>
  </si>
  <si>
    <t>2026-07-09</t>
  </si>
  <si>
    <t>E1290</t>
  </si>
  <si>
    <t>Rohan Gupta</t>
  </si>
  <si>
    <t>2024-05-21</t>
  </si>
  <si>
    <t>E1291</t>
  </si>
  <si>
    <t>Payal Chopra</t>
  </si>
  <si>
    <t>2022-08-22</t>
  </si>
  <si>
    <t>E1292</t>
  </si>
  <si>
    <t>Sunita Joshi</t>
  </si>
  <si>
    <t>2023-05-26</t>
  </si>
  <si>
    <t>2024-10-05</t>
  </si>
  <si>
    <t>E1293</t>
  </si>
  <si>
    <t>Karan Rao</t>
  </si>
  <si>
    <t>2020-10-03</t>
  </si>
  <si>
    <t>E1294</t>
  </si>
  <si>
    <t>2019-10-02</t>
  </si>
  <si>
    <t>E1295</t>
  </si>
  <si>
    <t>2020-09-26</t>
  </si>
  <si>
    <t>E1296</t>
  </si>
  <si>
    <t>2022-03-08</t>
  </si>
  <si>
    <t>2023-03-10</t>
  </si>
  <si>
    <t>E1297</t>
  </si>
  <si>
    <t>Ashok Chopra</t>
  </si>
  <si>
    <t>2022-08-20</t>
  </si>
  <si>
    <t>2022-12-30</t>
  </si>
  <si>
    <t>E1298</t>
  </si>
  <si>
    <t>Anil Mehta</t>
  </si>
  <si>
    <t>2022-02-27</t>
  </si>
  <si>
    <t>E1299</t>
  </si>
  <si>
    <t>Pooja Das</t>
  </si>
  <si>
    <t>2023-04-23</t>
  </si>
  <si>
    <t>E1300</t>
  </si>
  <si>
    <t>2019-03-03</t>
  </si>
  <si>
    <t>E1301</t>
  </si>
  <si>
    <t>Gaurav Gupta</t>
  </si>
  <si>
    <t>2016-05-05</t>
  </si>
  <si>
    <t>E1302</t>
  </si>
  <si>
    <t>Anil Malhotra</t>
  </si>
  <si>
    <t>2025-01-05</t>
  </si>
  <si>
    <t>E1303</t>
  </si>
  <si>
    <t>Kavita Reddy</t>
  </si>
  <si>
    <t>2015-01-20</t>
  </si>
  <si>
    <t>E1304</t>
  </si>
  <si>
    <t>Nisha Chopra</t>
  </si>
  <si>
    <t>2020-05-09</t>
  </si>
  <si>
    <t>E1305</t>
  </si>
  <si>
    <t>Rahul Sharma</t>
  </si>
  <si>
    <t>E1306</t>
  </si>
  <si>
    <t>Amit Nair</t>
  </si>
  <si>
    <t>2020-02-11</t>
  </si>
  <si>
    <t>E1307</t>
  </si>
  <si>
    <t>2015-03-20</t>
  </si>
  <si>
    <t>2023-08-08</t>
  </si>
  <si>
    <t>E1308</t>
  </si>
  <si>
    <t>2021-12-27</t>
  </si>
  <si>
    <t>2022-10-20</t>
  </si>
  <si>
    <t>E1309</t>
  </si>
  <si>
    <t>2020-04-27</t>
  </si>
  <si>
    <t>E1310</t>
  </si>
  <si>
    <t>2023-01-23</t>
  </si>
  <si>
    <t>E1311</t>
  </si>
  <si>
    <t>2016-10-18</t>
  </si>
  <si>
    <t>E1312</t>
  </si>
  <si>
    <t>Suresh Chauhan</t>
  </si>
  <si>
    <t>2016-09-02</t>
  </si>
  <si>
    <t>E1313</t>
  </si>
  <si>
    <t>2024-02-13</t>
  </si>
  <si>
    <t>2026-05-09</t>
  </si>
  <si>
    <t>E1314</t>
  </si>
  <si>
    <t>2018-09-08</t>
  </si>
  <si>
    <t>2022-09-10</t>
  </si>
  <si>
    <t>E1315</t>
  </si>
  <si>
    <t>2024-05-16</t>
  </si>
  <si>
    <t>2026-06-27</t>
  </si>
  <si>
    <t>E1316</t>
  </si>
  <si>
    <t>Suresh Malhotra</t>
  </si>
  <si>
    <t>2023-12-31</t>
  </si>
  <si>
    <t>E1317</t>
  </si>
  <si>
    <t>Gaurav Das</t>
  </si>
  <si>
    <t>2024-12-14</t>
  </si>
  <si>
    <t>2026-08-03</t>
  </si>
  <si>
    <t>E1318</t>
  </si>
  <si>
    <t>Anil Pillai</t>
  </si>
  <si>
    <t>2022-09-20</t>
  </si>
  <si>
    <t>E1319</t>
  </si>
  <si>
    <t>Sneha Bose</t>
  </si>
  <si>
    <t>2015-02-17</t>
  </si>
  <si>
    <t>E1320</t>
  </si>
  <si>
    <t>2015-07-26</t>
  </si>
  <si>
    <t>E1321</t>
  </si>
  <si>
    <t>Gaurav Kapoor</t>
  </si>
  <si>
    <t>2016-05-01</t>
  </si>
  <si>
    <t>E1322</t>
  </si>
  <si>
    <t>Payal Bose</t>
  </si>
  <si>
    <t>2022-05-05</t>
  </si>
  <si>
    <t>E1323</t>
  </si>
  <si>
    <t>2016-02-04</t>
  </si>
  <si>
    <t>E1324</t>
  </si>
  <si>
    <t>2020-07-09</t>
  </si>
  <si>
    <t>2025-02-02</t>
  </si>
  <si>
    <t>E1325</t>
  </si>
  <si>
    <t>Anil Kumar</t>
  </si>
  <si>
    <t>2015-07-10</t>
  </si>
  <si>
    <t>E1326</t>
  </si>
  <si>
    <t>Priya Pillai</t>
  </si>
  <si>
    <t>2021-03-16</t>
  </si>
  <si>
    <t>E1327</t>
  </si>
  <si>
    <t>2020-08-26</t>
  </si>
  <si>
    <t>E1328</t>
  </si>
  <si>
    <t>2021-10-03</t>
  </si>
  <si>
    <t>E1329</t>
  </si>
  <si>
    <t>2022-09-13</t>
  </si>
  <si>
    <t>E1330</t>
  </si>
  <si>
    <t>Ritu Das</t>
  </si>
  <si>
    <t>2022-06-25</t>
  </si>
  <si>
    <t>E1331</t>
  </si>
  <si>
    <t>2017-12-29</t>
  </si>
  <si>
    <t>E1332</t>
  </si>
  <si>
    <t>Sunil Verma</t>
  </si>
  <si>
    <t>2024-02-17</t>
  </si>
  <si>
    <t>E1333</t>
  </si>
  <si>
    <t>2019-09-03</t>
  </si>
  <si>
    <t>E1334</t>
  </si>
  <si>
    <t>2023-04-13</t>
  </si>
  <si>
    <t>2024-06-01</t>
  </si>
  <si>
    <t>E1335</t>
  </si>
  <si>
    <t>2018-02-17</t>
  </si>
  <si>
    <t>2023-07-11</t>
  </si>
  <si>
    <t>E1336</t>
  </si>
  <si>
    <t>2023-09-04</t>
  </si>
  <si>
    <t>E1337</t>
  </si>
  <si>
    <t>Payal Mehta</t>
  </si>
  <si>
    <t>2020-11-02</t>
  </si>
  <si>
    <t>E1338</t>
  </si>
  <si>
    <t>Anil Reddy</t>
  </si>
  <si>
    <t>2018-04-17</t>
  </si>
  <si>
    <t>2025-12-15</t>
  </si>
  <si>
    <t>E1339</t>
  </si>
  <si>
    <t>2015-06-13</t>
  </si>
  <si>
    <t>E1340</t>
  </si>
  <si>
    <t>Payal Pillai</t>
  </si>
  <si>
    <t>2020-06-16</t>
  </si>
  <si>
    <t>2020-09-14</t>
  </si>
  <si>
    <t>E1341</t>
  </si>
  <si>
    <t>Karan Malhotra</t>
  </si>
  <si>
    <t>2017-04-22</t>
  </si>
  <si>
    <t>E1342</t>
  </si>
  <si>
    <t>2023-11-28</t>
  </si>
  <si>
    <t>2025-05-02</t>
  </si>
  <si>
    <t>E1343</t>
  </si>
  <si>
    <t>2022-07-20</t>
  </si>
  <si>
    <t>E1344</t>
  </si>
  <si>
    <t>Payal Kumar</t>
  </si>
  <si>
    <t>2023-10-29</t>
  </si>
  <si>
    <t>E1345</t>
  </si>
  <si>
    <t>Kavita Bose</t>
  </si>
  <si>
    <t>E1346</t>
  </si>
  <si>
    <t>Priya Bose</t>
  </si>
  <si>
    <t>2016-08-02</t>
  </si>
  <si>
    <t>E1347</t>
  </si>
  <si>
    <t>Ajay Gupta</t>
  </si>
  <si>
    <t>E1348</t>
  </si>
  <si>
    <t>Rohan Chauhan</t>
  </si>
  <si>
    <t>E1349</t>
  </si>
  <si>
    <t>Karan Chauhan</t>
  </si>
  <si>
    <t>2018-09-17</t>
  </si>
  <si>
    <t>E1350</t>
  </si>
  <si>
    <t>2022-10-11</t>
  </si>
  <si>
    <t>E1351</t>
  </si>
  <si>
    <t>Divya Mehta</t>
  </si>
  <si>
    <t>2018-02-07</t>
  </si>
  <si>
    <t>E1352</t>
  </si>
  <si>
    <t>2024-06-09</t>
  </si>
  <si>
    <t>E1353</t>
  </si>
  <si>
    <t>Rahul Pillai</t>
  </si>
  <si>
    <t>2024-02-11</t>
  </si>
  <si>
    <t>E1354</t>
  </si>
  <si>
    <t>Sneha Iyer</t>
  </si>
  <si>
    <t>2017-07-03</t>
  </si>
  <si>
    <t>E1355</t>
  </si>
  <si>
    <t>Sanjay Bhatt</t>
  </si>
  <si>
    <t>2023-06-29</t>
  </si>
  <si>
    <t>E1356</t>
  </si>
  <si>
    <t>Sunita Verma</t>
  </si>
  <si>
    <t>2023-07-16</t>
  </si>
  <si>
    <t>E1357</t>
  </si>
  <si>
    <t>E1358</t>
  </si>
  <si>
    <t>2021-08-04</t>
  </si>
  <si>
    <t>E1359</t>
  </si>
  <si>
    <t>2020-08-17</t>
  </si>
  <si>
    <t>E1360</t>
  </si>
  <si>
    <t>Rohan Iyer</t>
  </si>
  <si>
    <t>2022-05-31</t>
  </si>
  <si>
    <t>E1361</t>
  </si>
  <si>
    <t>Priya Mehta</t>
  </si>
  <si>
    <t>2016-06-07</t>
  </si>
  <si>
    <t>E1362</t>
  </si>
  <si>
    <t>2019-07-19</t>
  </si>
  <si>
    <t>E1363</t>
  </si>
  <si>
    <t>2024-04-24</t>
  </si>
  <si>
    <t>E1364</t>
  </si>
  <si>
    <t>Rita Bhatt</t>
  </si>
  <si>
    <t>2017-07-30</t>
  </si>
  <si>
    <t>E1365</t>
  </si>
  <si>
    <t>2016-12-27</t>
  </si>
  <si>
    <t>E1366</t>
  </si>
  <si>
    <t>2024-04-12</t>
  </si>
  <si>
    <t>E1367</t>
  </si>
  <si>
    <t>Swati Iyer</t>
  </si>
  <si>
    <t>2016-02-05</t>
  </si>
  <si>
    <t>E1368</t>
  </si>
  <si>
    <t>Meena Sharma</t>
  </si>
  <si>
    <t>2021-06-25</t>
  </si>
  <si>
    <t>E1369</t>
  </si>
  <si>
    <t>2022-04-22</t>
  </si>
  <si>
    <t>E1370</t>
  </si>
  <si>
    <t>2020-05-30</t>
  </si>
  <si>
    <t>E1371</t>
  </si>
  <si>
    <t>Suresh Mehta</t>
  </si>
  <si>
    <t>2023-10-13</t>
  </si>
  <si>
    <t>E1372</t>
  </si>
  <si>
    <t>Rohan Chopra</t>
  </si>
  <si>
    <t>2024-01-08</t>
  </si>
  <si>
    <t>2024-10-21</t>
  </si>
  <si>
    <t>E1373</t>
  </si>
  <si>
    <t>2018-03-19</t>
  </si>
  <si>
    <t>E1374</t>
  </si>
  <si>
    <t>Meena Verma</t>
  </si>
  <si>
    <t>2020-10-13</t>
  </si>
  <si>
    <t>E1375</t>
  </si>
  <si>
    <t>Manoj Chopra</t>
  </si>
  <si>
    <t>2022-07-05</t>
  </si>
  <si>
    <t>E1376</t>
  </si>
  <si>
    <t>Ritu Chauhan</t>
  </si>
  <si>
    <t>2018-11-24</t>
  </si>
  <si>
    <t>E1377</t>
  </si>
  <si>
    <t>Kavita Malhotra</t>
  </si>
  <si>
    <t>2016-03-12</t>
  </si>
  <si>
    <t>E1378</t>
  </si>
  <si>
    <t>Rita Chopra</t>
  </si>
  <si>
    <t>2020-06-03</t>
  </si>
  <si>
    <t>E1379</t>
  </si>
  <si>
    <t>Anjali Chopra</t>
  </si>
  <si>
    <t>2022-08-04</t>
  </si>
  <si>
    <t>2024-03-25</t>
  </si>
  <si>
    <t>E1380</t>
  </si>
  <si>
    <t>Nikhil Reddy</t>
  </si>
  <si>
    <t>2021-03-21</t>
  </si>
  <si>
    <t>E1381</t>
  </si>
  <si>
    <t>2023-04-01</t>
  </si>
  <si>
    <t>E1382</t>
  </si>
  <si>
    <t>Suresh Patel</t>
  </si>
  <si>
    <t>2021-11-19</t>
  </si>
  <si>
    <t>E1383</t>
  </si>
  <si>
    <t>Kavita Pillai</t>
  </si>
  <si>
    <t>2019-06-18</t>
  </si>
  <si>
    <t>E1384</t>
  </si>
  <si>
    <t>Swati Joshi</t>
  </si>
  <si>
    <t>2016-05-08</t>
  </si>
  <si>
    <t>E1385</t>
  </si>
  <si>
    <t>Anil Iyer</t>
  </si>
  <si>
    <t>2017-02-05</t>
  </si>
  <si>
    <t>E1386</t>
  </si>
  <si>
    <t>Ravi Iyer</t>
  </si>
  <si>
    <t>2024-07-31</t>
  </si>
  <si>
    <t>E1387</t>
  </si>
  <si>
    <t>Divya Bose</t>
  </si>
  <si>
    <t>2024-08-08</t>
  </si>
  <si>
    <t>2026-03-02</t>
  </si>
  <si>
    <t>E1388</t>
  </si>
  <si>
    <t>2021-04-21</t>
  </si>
  <si>
    <t>E1389</t>
  </si>
  <si>
    <t>Vivek Reddy</t>
  </si>
  <si>
    <t>2019-01-18</t>
  </si>
  <si>
    <t>2026-01-01</t>
  </si>
  <si>
    <t>E1390</t>
  </si>
  <si>
    <t>Deepak Iyer</t>
  </si>
  <si>
    <t>E1391</t>
  </si>
  <si>
    <t>2019-07-16</t>
  </si>
  <si>
    <t>2022-12-20</t>
  </si>
  <si>
    <t>E1392</t>
  </si>
  <si>
    <t>2023-05-22</t>
  </si>
  <si>
    <t>2024-11-12</t>
  </si>
  <si>
    <t>E1393</t>
  </si>
  <si>
    <t>Karan Joshi</t>
  </si>
  <si>
    <t>2016-02-26</t>
  </si>
  <si>
    <t>E1394</t>
  </si>
  <si>
    <t>Nidhi Singh</t>
  </si>
  <si>
    <t>E1395</t>
  </si>
  <si>
    <t>Rajesh Joshi</t>
  </si>
  <si>
    <t>2015-05-24</t>
  </si>
  <si>
    <t>E1396</t>
  </si>
  <si>
    <t>E1397</t>
  </si>
  <si>
    <t>2019-02-07</t>
  </si>
  <si>
    <t>E1398</t>
  </si>
  <si>
    <t>2022-09-18</t>
  </si>
  <si>
    <t>E1399</t>
  </si>
  <si>
    <t>Sunil Iyer</t>
  </si>
  <si>
    <t>2019-08-14</t>
  </si>
  <si>
    <t>E1400</t>
  </si>
  <si>
    <t>Manoj Patel</t>
  </si>
  <si>
    <t>2022-01-05</t>
  </si>
  <si>
    <t>E1401</t>
  </si>
  <si>
    <t>Vikram Joshi</t>
  </si>
  <si>
    <t>2018-04-01</t>
  </si>
  <si>
    <t>E1402</t>
  </si>
  <si>
    <t>Arjun Verma</t>
  </si>
  <si>
    <t>2015-04-01</t>
  </si>
  <si>
    <t>2015-07-03</t>
  </si>
  <si>
    <t>E1403</t>
  </si>
  <si>
    <t>Rahul Das</t>
  </si>
  <si>
    <t>2018-11-01</t>
  </si>
  <si>
    <t>E1404</t>
  </si>
  <si>
    <t>Swati Patel</t>
  </si>
  <si>
    <t>2020-04-09</t>
  </si>
  <si>
    <t>2025-05-27</t>
  </si>
  <si>
    <t>E1405</t>
  </si>
  <si>
    <t>Karan Kapoor</t>
  </si>
  <si>
    <t>2020-11-04</t>
  </si>
  <si>
    <t>E1406</t>
  </si>
  <si>
    <t>2017-11-03</t>
  </si>
  <si>
    <t>E1407</t>
  </si>
  <si>
    <t>Ravi Reddy</t>
  </si>
  <si>
    <t>2016-11-16</t>
  </si>
  <si>
    <t>2017-07-06</t>
  </si>
  <si>
    <t>E1408</t>
  </si>
  <si>
    <t>2023-08-24</t>
  </si>
  <si>
    <t>2026-07-11</t>
  </si>
  <si>
    <t>E1409</t>
  </si>
  <si>
    <t>Ajay Singh</t>
  </si>
  <si>
    <t>2023-11-16</t>
  </si>
  <si>
    <t>E1410</t>
  </si>
  <si>
    <t>Rahul Chopra</t>
  </si>
  <si>
    <t>2023-02-15</t>
  </si>
  <si>
    <t>E1411</t>
  </si>
  <si>
    <t>2023-03-19</t>
  </si>
  <si>
    <t>2025-01-12</t>
  </si>
  <si>
    <t>E1412</t>
  </si>
  <si>
    <t>Rita Sharma</t>
  </si>
  <si>
    <t>2019-04-02</t>
  </si>
  <si>
    <t>2020-02-15</t>
  </si>
  <si>
    <t>E1413</t>
  </si>
  <si>
    <t>2023-08-03</t>
  </si>
  <si>
    <t>E1414</t>
  </si>
  <si>
    <t>2024-10-17</t>
  </si>
  <si>
    <t>E1415</t>
  </si>
  <si>
    <t>2015-07-21</t>
  </si>
  <si>
    <t>E1416</t>
  </si>
  <si>
    <t>2024-03-21</t>
  </si>
  <si>
    <t>E1417</t>
  </si>
  <si>
    <t>Rajesh Kumar</t>
  </si>
  <si>
    <t>2023-02-18</t>
  </si>
  <si>
    <t>2024-04-19</t>
  </si>
  <si>
    <t>E1418</t>
  </si>
  <si>
    <t>Pooja Chauhan</t>
  </si>
  <si>
    <t>E1419</t>
  </si>
  <si>
    <t>Sunil Bhatt</t>
  </si>
  <si>
    <t>2025-06-20</t>
  </si>
  <si>
    <t>E1420</t>
  </si>
  <si>
    <t>2021-02-12</t>
  </si>
  <si>
    <t>E1421</t>
  </si>
  <si>
    <t>Deepak Bhatt</t>
  </si>
  <si>
    <t>2020-10-21</t>
  </si>
  <si>
    <t>E1422</t>
  </si>
  <si>
    <t>2021-05-26</t>
  </si>
  <si>
    <t>2023-01-18</t>
  </si>
  <si>
    <t>E1423</t>
  </si>
  <si>
    <t>Sanjay Rao</t>
  </si>
  <si>
    <t>2016-01-12</t>
  </si>
  <si>
    <t>E1424</t>
  </si>
  <si>
    <t>Ashok Nair</t>
  </si>
  <si>
    <t>2023-03-13</t>
  </si>
  <si>
    <t>E1425</t>
  </si>
  <si>
    <t>2022-02-09</t>
  </si>
  <si>
    <t>E1426</t>
  </si>
  <si>
    <t>2020-07-28</t>
  </si>
  <si>
    <t>E1427</t>
  </si>
  <si>
    <t>2020-05-03</t>
  </si>
  <si>
    <t>E1428</t>
  </si>
  <si>
    <t>Arjun Das</t>
  </si>
  <si>
    <t>2017-03-22</t>
  </si>
  <si>
    <t>E1429</t>
  </si>
  <si>
    <t>2016-01-02</t>
  </si>
  <si>
    <t>E1430</t>
  </si>
  <si>
    <t>Deepak Joshi</t>
  </si>
  <si>
    <t>2021-11-29</t>
  </si>
  <si>
    <t>E1431</t>
  </si>
  <si>
    <t>2023-04-18</t>
  </si>
  <si>
    <t>E1432</t>
  </si>
  <si>
    <t>Komal Sharma</t>
  </si>
  <si>
    <t>2017-05-06</t>
  </si>
  <si>
    <t>E1433</t>
  </si>
  <si>
    <t>E1434</t>
  </si>
  <si>
    <t>E1435</t>
  </si>
  <si>
    <t>Anil Das</t>
  </si>
  <si>
    <t>2015-12-27</t>
  </si>
  <si>
    <t>2018-12-04</t>
  </si>
  <si>
    <t>E1436</t>
  </si>
  <si>
    <t>2015-03-17</t>
  </si>
  <si>
    <t>E1437</t>
  </si>
  <si>
    <t>2021-03-23</t>
  </si>
  <si>
    <t>E1438</t>
  </si>
  <si>
    <t>2019-09-06</t>
  </si>
  <si>
    <t>2025-12-03</t>
  </si>
  <si>
    <t>E1439</t>
  </si>
  <si>
    <t>2024-09-03</t>
  </si>
  <si>
    <t>E1440</t>
  </si>
  <si>
    <t>2023-01-25</t>
  </si>
  <si>
    <t>E1441</t>
  </si>
  <si>
    <t>Rita Rao</t>
  </si>
  <si>
    <t>E1442</t>
  </si>
  <si>
    <t>2022-09-16</t>
  </si>
  <si>
    <t>E1443</t>
  </si>
  <si>
    <t>2016-07-17</t>
  </si>
  <si>
    <t>E1444</t>
  </si>
  <si>
    <t>2025-05-25</t>
  </si>
  <si>
    <t>E1445</t>
  </si>
  <si>
    <t>Neha Bhatt</t>
  </si>
  <si>
    <t>2023-01-28</t>
  </si>
  <si>
    <t>E1446</t>
  </si>
  <si>
    <t>Vivek Kapoor</t>
  </si>
  <si>
    <t>E1447</t>
  </si>
  <si>
    <t>Karan Nair</t>
  </si>
  <si>
    <t>2019-06-19</t>
  </si>
  <si>
    <t>E1448</t>
  </si>
  <si>
    <t>2023-02-07</t>
  </si>
  <si>
    <t>E1449</t>
  </si>
  <si>
    <t>Rohan Kapoor</t>
  </si>
  <si>
    <t>2024-11-23</t>
  </si>
  <si>
    <t>E1450</t>
  </si>
  <si>
    <t>Vikram Kumar</t>
  </si>
  <si>
    <t>2022-02-10</t>
  </si>
  <si>
    <t>E1451</t>
  </si>
  <si>
    <t>Anil Chauhan</t>
  </si>
  <si>
    <t>2016-10-26</t>
  </si>
  <si>
    <t>E1452</t>
  </si>
  <si>
    <t>2015-01-15</t>
  </si>
  <si>
    <t>E1453</t>
  </si>
  <si>
    <t>2020-02-02</t>
  </si>
  <si>
    <t>E1454</t>
  </si>
  <si>
    <t>Amit Joshi</t>
  </si>
  <si>
    <t>2015-08-14</t>
  </si>
  <si>
    <t>E1455</t>
  </si>
  <si>
    <t>Amit Kumar</t>
  </si>
  <si>
    <t>2016-12-31</t>
  </si>
  <si>
    <t>E1456</t>
  </si>
  <si>
    <t>Seema Iyer</t>
  </si>
  <si>
    <t>2016-01-17</t>
  </si>
  <si>
    <t>E1457</t>
  </si>
  <si>
    <t>Komal Singh</t>
  </si>
  <si>
    <t>2022-10-16</t>
  </si>
  <si>
    <t>E1458</t>
  </si>
  <si>
    <t>Prakash Pillai</t>
  </si>
  <si>
    <t>2020-06-04</t>
  </si>
  <si>
    <t>E1459</t>
  </si>
  <si>
    <t>2020-07-26</t>
  </si>
  <si>
    <t>E1460</t>
  </si>
  <si>
    <t>E1461</t>
  </si>
  <si>
    <t>2017-11-08</t>
  </si>
  <si>
    <t>E1462</t>
  </si>
  <si>
    <t>2021-11-28</t>
  </si>
  <si>
    <t>E1463</t>
  </si>
  <si>
    <t>2022-01-13</t>
  </si>
  <si>
    <t>E1464</t>
  </si>
  <si>
    <t>Seema Reddy</t>
  </si>
  <si>
    <t>2021-01-03</t>
  </si>
  <si>
    <t>2021-05-06</t>
  </si>
  <si>
    <t>E1465</t>
  </si>
  <si>
    <t>Prakash Bhatt</t>
  </si>
  <si>
    <t>2017-02-06</t>
  </si>
  <si>
    <t>2019-12-06</t>
  </si>
  <si>
    <t>E1466</t>
  </si>
  <si>
    <t>2016-12-17</t>
  </si>
  <si>
    <t>2022-07-15</t>
  </si>
  <si>
    <t>E1467</t>
  </si>
  <si>
    <t>2019-01-20</t>
  </si>
  <si>
    <t>E1468</t>
  </si>
  <si>
    <t>Rahul Nair</t>
  </si>
  <si>
    <t>2022-09-15</t>
  </si>
  <si>
    <t>2026-07-25</t>
  </si>
  <si>
    <t>E1469</t>
  </si>
  <si>
    <t>Prakash Nair</t>
  </si>
  <si>
    <t>2018-08-07</t>
  </si>
  <si>
    <t>E1470</t>
  </si>
  <si>
    <t>Manoj Kumar</t>
  </si>
  <si>
    <t>2021-12-26</t>
  </si>
  <si>
    <t>2022-12-10</t>
  </si>
  <si>
    <t>E1471</t>
  </si>
  <si>
    <t>Rohan Patel</t>
  </si>
  <si>
    <t>2021-11-16</t>
  </si>
  <si>
    <t>E1472</t>
  </si>
  <si>
    <t>2019-10-13</t>
  </si>
  <si>
    <t>E1473</t>
  </si>
  <si>
    <t>Rekha Gupta</t>
  </si>
  <si>
    <t>2015-11-18</t>
  </si>
  <si>
    <t>E1474</t>
  </si>
  <si>
    <t>Komal Mehta</t>
  </si>
  <si>
    <t>2016-08-11</t>
  </si>
  <si>
    <t>E1475</t>
  </si>
  <si>
    <t>Rita Das</t>
  </si>
  <si>
    <t>2015-09-25</t>
  </si>
  <si>
    <t>E1476</t>
  </si>
  <si>
    <t>2024-03-02</t>
  </si>
  <si>
    <t>E1477</t>
  </si>
  <si>
    <t>2021-12-18</t>
  </si>
  <si>
    <t>2026-01-07</t>
  </si>
  <si>
    <t>E1478</t>
  </si>
  <si>
    <t>2022-10-14</t>
  </si>
  <si>
    <t>E1479</t>
  </si>
  <si>
    <t>Vivek Joshi</t>
  </si>
  <si>
    <t>2019-07-21</t>
  </si>
  <si>
    <t>E1480</t>
  </si>
  <si>
    <t>Arjun Chauhan</t>
  </si>
  <si>
    <t>2023-06-28</t>
  </si>
  <si>
    <t>E1481</t>
  </si>
  <si>
    <t>2025-07-02</t>
  </si>
  <si>
    <t>E1482</t>
  </si>
  <si>
    <t>Neha Iyer</t>
  </si>
  <si>
    <t>2015-08-06</t>
  </si>
  <si>
    <t>E1483</t>
  </si>
  <si>
    <t>2019-04-12</t>
  </si>
  <si>
    <t>E1484</t>
  </si>
  <si>
    <t>Deepak Singh</t>
  </si>
  <si>
    <t>E1485</t>
  </si>
  <si>
    <t>E1486</t>
  </si>
  <si>
    <t>2020-08-02</t>
  </si>
  <si>
    <t>E1487</t>
  </si>
  <si>
    <t>E1488</t>
  </si>
  <si>
    <t>Gaurav Patel</t>
  </si>
  <si>
    <t>2023-12-14</t>
  </si>
  <si>
    <t>E1489</t>
  </si>
  <si>
    <t>Nisha Iyer</t>
  </si>
  <si>
    <t>2018-03-30</t>
  </si>
  <si>
    <t>E1490</t>
  </si>
  <si>
    <t>2025-04-14</t>
  </si>
  <si>
    <t>E1491</t>
  </si>
  <si>
    <t>Priya Kumar</t>
  </si>
  <si>
    <t>2025-03-16</t>
  </si>
  <si>
    <t>2026-05-08</t>
  </si>
  <si>
    <t>E1492</t>
  </si>
  <si>
    <t>2015-12-12</t>
  </si>
  <si>
    <t>E1493</t>
  </si>
  <si>
    <t>2023-03-27</t>
  </si>
  <si>
    <t>E1494</t>
  </si>
  <si>
    <t>Ritu Mehta</t>
  </si>
  <si>
    <t>2022-08-31</t>
  </si>
  <si>
    <t>2025-05-06</t>
  </si>
  <si>
    <t>E1495</t>
  </si>
  <si>
    <t>2025-04-16</t>
  </si>
  <si>
    <t>E1496</t>
  </si>
  <si>
    <t>2020-03-03</t>
  </si>
  <si>
    <t>E1497</t>
  </si>
  <si>
    <t>2019-08-12</t>
  </si>
  <si>
    <t>2021-12-09</t>
  </si>
  <si>
    <t>E1498</t>
  </si>
  <si>
    <t>Amit Bhatt</t>
  </si>
  <si>
    <t>2021-09-21</t>
  </si>
  <si>
    <t>E1499</t>
  </si>
  <si>
    <t>Suresh Joshi</t>
  </si>
  <si>
    <t>2018-04-21</t>
  </si>
  <si>
    <t>E1500</t>
  </si>
  <si>
    <t>2023-09-19</t>
  </si>
  <si>
    <t>2024-01-28</t>
  </si>
  <si>
    <t>E1501</t>
  </si>
  <si>
    <t>2016-08-12</t>
  </si>
  <si>
    <t>E1502</t>
  </si>
  <si>
    <t>Amit Patel</t>
  </si>
  <si>
    <t>2021-05-29</t>
  </si>
  <si>
    <t>E1503</t>
  </si>
  <si>
    <t>Shweta Singh</t>
  </si>
  <si>
    <t>2025-02-22</t>
  </si>
  <si>
    <t>E1504</t>
  </si>
  <si>
    <t>2016-05-11</t>
  </si>
  <si>
    <t>2023-10-12</t>
  </si>
  <si>
    <t>E1505</t>
  </si>
  <si>
    <t>Anjali Kapoor</t>
  </si>
  <si>
    <t>2022-04-07</t>
  </si>
  <si>
    <t>2024-08-12</t>
  </si>
  <si>
    <t>E1506</t>
  </si>
  <si>
    <t>Komal Patel</t>
  </si>
  <si>
    <t>2023-03-31</t>
  </si>
  <si>
    <t>2025-08-03</t>
  </si>
  <si>
    <t>E1507</t>
  </si>
  <si>
    <t>2015-03-09</t>
  </si>
  <si>
    <t>2025-08-17</t>
  </si>
  <si>
    <t>E1508</t>
  </si>
  <si>
    <t>2015-06-01</t>
  </si>
  <si>
    <t>2023-06-11</t>
  </si>
  <si>
    <t>E1509</t>
  </si>
  <si>
    <t>Rohan Verma</t>
  </si>
  <si>
    <t>2024-03-15</t>
  </si>
  <si>
    <t>2024-08-30</t>
  </si>
  <si>
    <t>E1510</t>
  </si>
  <si>
    <t>Vikram Gupta</t>
  </si>
  <si>
    <t>2018-10-13</t>
  </si>
  <si>
    <t>E1511</t>
  </si>
  <si>
    <t>Prakash Joshi</t>
  </si>
  <si>
    <t>2015-09-16</t>
  </si>
  <si>
    <t>E1512</t>
  </si>
  <si>
    <t>2023-09-21</t>
  </si>
  <si>
    <t>E1513</t>
  </si>
  <si>
    <t>Nisha Das</t>
  </si>
  <si>
    <t>E1514</t>
  </si>
  <si>
    <t>E1515</t>
  </si>
  <si>
    <t>Ashok Iyer</t>
  </si>
  <si>
    <t>2020-09-09</t>
  </si>
  <si>
    <t>E1516</t>
  </si>
  <si>
    <t>Kavita Joshi</t>
  </si>
  <si>
    <t>2015-08-10</t>
  </si>
  <si>
    <t>E1517</t>
  </si>
  <si>
    <t>Amit Bose</t>
  </si>
  <si>
    <t>E1518</t>
  </si>
  <si>
    <t>Nisha Gupta</t>
  </si>
  <si>
    <t>2017-07-31</t>
  </si>
  <si>
    <t>E1519</t>
  </si>
  <si>
    <t>2015-08-11</t>
  </si>
  <si>
    <t>E1520</t>
  </si>
  <si>
    <t>Ajay Rao</t>
  </si>
  <si>
    <t>2018-10-07</t>
  </si>
  <si>
    <t>E1521</t>
  </si>
  <si>
    <t>2021-10-08</t>
  </si>
  <si>
    <t>2024-11-09</t>
  </si>
  <si>
    <t>E1522</t>
  </si>
  <si>
    <t>2024-03-09</t>
  </si>
  <si>
    <t>E1523</t>
  </si>
  <si>
    <t>Neha Verma</t>
  </si>
  <si>
    <t>2023-03-24</t>
  </si>
  <si>
    <t>E1524</t>
  </si>
  <si>
    <t>2021-04-06</t>
  </si>
  <si>
    <t>E1525</t>
  </si>
  <si>
    <t>2024-08-15</t>
  </si>
  <si>
    <t>E1526</t>
  </si>
  <si>
    <t>2019-04-26</t>
  </si>
  <si>
    <t>E1527</t>
  </si>
  <si>
    <t>Vikram Bhatt</t>
  </si>
  <si>
    <t>2023-04-02</t>
  </si>
  <si>
    <t>E1528</t>
  </si>
  <si>
    <t>2022-11-27</t>
  </si>
  <si>
    <t>2025-10-01</t>
  </si>
  <si>
    <t>E1529</t>
  </si>
  <si>
    <t>Sanjay Reddy</t>
  </si>
  <si>
    <t>2025-01-25</t>
  </si>
  <si>
    <t>E1530</t>
  </si>
  <si>
    <t>Gaurav Bose</t>
  </si>
  <si>
    <t>2025-02-01</t>
  </si>
  <si>
    <t>E1531</t>
  </si>
  <si>
    <t>Anjali Patel</t>
  </si>
  <si>
    <t>E1532</t>
  </si>
  <si>
    <t>Rajesh Sharma</t>
  </si>
  <si>
    <t>E1533</t>
  </si>
  <si>
    <t>2024-10-10</t>
  </si>
  <si>
    <t>E1534</t>
  </si>
  <si>
    <t>Rita Nair</t>
  </si>
  <si>
    <t>2016-06-24</t>
  </si>
  <si>
    <t>E1535</t>
  </si>
  <si>
    <t>2016-11-12</t>
  </si>
  <si>
    <t>E1536</t>
  </si>
  <si>
    <t>Rohan Mehta</t>
  </si>
  <si>
    <t>2015-06-18</t>
  </si>
  <si>
    <t>E1537</t>
  </si>
  <si>
    <t>2019-03-08</t>
  </si>
  <si>
    <t>E1538</t>
  </si>
  <si>
    <t>Rekha Singh</t>
  </si>
  <si>
    <t>E1539</t>
  </si>
  <si>
    <t>Prakash Kapoor</t>
  </si>
  <si>
    <t>2022-09-23</t>
  </si>
  <si>
    <t>2023-01-11</t>
  </si>
  <si>
    <t>E1540</t>
  </si>
  <si>
    <t>2018-08-29</t>
  </si>
  <si>
    <t>2019-10-05</t>
  </si>
  <si>
    <t>E1541</t>
  </si>
  <si>
    <t>Rajesh Chopra</t>
  </si>
  <si>
    <t>E1542</t>
  </si>
  <si>
    <t>Sunita Chopra</t>
  </si>
  <si>
    <t>2015-02-19</t>
  </si>
  <si>
    <t>2025-04-06</t>
  </si>
  <si>
    <t>E1543</t>
  </si>
  <si>
    <t>2023-03-04</t>
  </si>
  <si>
    <t>2025-12-30</t>
  </si>
  <si>
    <t>E1544</t>
  </si>
  <si>
    <t>2015-01-28</t>
  </si>
  <si>
    <t>E1545</t>
  </si>
  <si>
    <t>Nikhil Nair</t>
  </si>
  <si>
    <t>2020-07-02</t>
  </si>
  <si>
    <t>E1546</t>
  </si>
  <si>
    <t>Arjun Rao</t>
  </si>
  <si>
    <t>E1547</t>
  </si>
  <si>
    <t>Rahul Kumar</t>
  </si>
  <si>
    <t>2020-07-12</t>
  </si>
  <si>
    <t>E1548</t>
  </si>
  <si>
    <t>Pooja Iyer</t>
  </si>
  <si>
    <t>2023-03-22</t>
  </si>
  <si>
    <t>E1549</t>
  </si>
  <si>
    <t>Kavita Verma</t>
  </si>
  <si>
    <t>2019-01-19</t>
  </si>
  <si>
    <t>E1550</t>
  </si>
  <si>
    <t>Rohan Kumar</t>
  </si>
  <si>
    <t>2021-02-05</t>
  </si>
  <si>
    <t>E1551</t>
  </si>
  <si>
    <t>Sneha Sharma</t>
  </si>
  <si>
    <t>E1552</t>
  </si>
  <si>
    <t>2024-06-27</t>
  </si>
  <si>
    <t>2025-01-07</t>
  </si>
  <si>
    <t>E1553</t>
  </si>
  <si>
    <t>Anita Iyer</t>
  </si>
  <si>
    <t>2024-02-29</t>
  </si>
  <si>
    <t>E1554</t>
  </si>
  <si>
    <t>Arjun Singh</t>
  </si>
  <si>
    <t>2018-06-13</t>
  </si>
  <si>
    <t>2024-01-16</t>
  </si>
  <si>
    <t>E1555</t>
  </si>
  <si>
    <t>Suresh Verma</t>
  </si>
  <si>
    <t>2021-08-26</t>
  </si>
  <si>
    <t>E1556</t>
  </si>
  <si>
    <t>Prakash Gupta</t>
  </si>
  <si>
    <t>2022-07-09</t>
  </si>
  <si>
    <t>E1557</t>
  </si>
  <si>
    <t>2016-02-10</t>
  </si>
  <si>
    <t>E1558</t>
  </si>
  <si>
    <t>Suresh Gupta</t>
  </si>
  <si>
    <t>2024-07-18</t>
  </si>
  <si>
    <t>E1559</t>
  </si>
  <si>
    <t>2017-07-21</t>
  </si>
  <si>
    <t>2026-04-07</t>
  </si>
  <si>
    <t>E1560</t>
  </si>
  <si>
    <t>2018-09-05</t>
  </si>
  <si>
    <t>E1561</t>
  </si>
  <si>
    <t>Anita Malhotra</t>
  </si>
  <si>
    <t>2024-08-10</t>
  </si>
  <si>
    <t>E1562</t>
  </si>
  <si>
    <t>Payal Patel</t>
  </si>
  <si>
    <t>2016-08-10</t>
  </si>
  <si>
    <t>E1563</t>
  </si>
  <si>
    <t>Pooja Mehta</t>
  </si>
  <si>
    <t>E1564</t>
  </si>
  <si>
    <t>Komal Pillai</t>
  </si>
  <si>
    <t>2016-08-26</t>
  </si>
  <si>
    <t>E1565</t>
  </si>
  <si>
    <t>2017-01-03</t>
  </si>
  <si>
    <t>2018-01-11</t>
  </si>
  <si>
    <t>E1566</t>
  </si>
  <si>
    <t>Rita Gupta</t>
  </si>
  <si>
    <t>2022-06-04</t>
  </si>
  <si>
    <t>E1567</t>
  </si>
  <si>
    <t>2024-07-25</t>
  </si>
  <si>
    <t>E1568</t>
  </si>
  <si>
    <t>Gaurav Malhotra</t>
  </si>
  <si>
    <t>2018-07-03</t>
  </si>
  <si>
    <t>E1569</t>
  </si>
  <si>
    <t>2020-09-06</t>
  </si>
  <si>
    <t>E1570</t>
  </si>
  <si>
    <t>Rahul Chauhan</t>
  </si>
  <si>
    <t>2016-06-09</t>
  </si>
  <si>
    <t>E1571</t>
  </si>
  <si>
    <t>Sunita Malhotra</t>
  </si>
  <si>
    <t>2015-08-20</t>
  </si>
  <si>
    <t>2023-07-07</t>
  </si>
  <si>
    <t>E1572</t>
  </si>
  <si>
    <t>Anil Joshi</t>
  </si>
  <si>
    <t>2021-01-14</t>
  </si>
  <si>
    <t>E1573</t>
  </si>
  <si>
    <t>Anil Chopra</t>
  </si>
  <si>
    <t>2019-05-18</t>
  </si>
  <si>
    <t>2025-02-09</t>
  </si>
  <si>
    <t>E1574</t>
  </si>
  <si>
    <t>Kavita Bhatt</t>
  </si>
  <si>
    <t>2019-01-28</t>
  </si>
  <si>
    <t>E1575</t>
  </si>
  <si>
    <t>Shweta Verma</t>
  </si>
  <si>
    <t>2021-06-07</t>
  </si>
  <si>
    <t>2023-06-26</t>
  </si>
  <si>
    <t>E1576</t>
  </si>
  <si>
    <t>2023-12-03</t>
  </si>
  <si>
    <t>E1577</t>
  </si>
  <si>
    <t>2020-01-31</t>
  </si>
  <si>
    <t>E1578</t>
  </si>
  <si>
    <t>Meena Kapoor</t>
  </si>
  <si>
    <t>2022-02-25</t>
  </si>
  <si>
    <t>2023-06-10</t>
  </si>
  <si>
    <t>E1579</t>
  </si>
  <si>
    <t>Sanjay Singh</t>
  </si>
  <si>
    <t>2024-06-19</t>
  </si>
  <si>
    <t>E1580</t>
  </si>
  <si>
    <t>Manoj Bhatt</t>
  </si>
  <si>
    <t>E1581</t>
  </si>
  <si>
    <t>E1582</t>
  </si>
  <si>
    <t>Priya Verma</t>
  </si>
  <si>
    <t>2018-07-09</t>
  </si>
  <si>
    <t>E1583</t>
  </si>
  <si>
    <t>Sanjay Kumar</t>
  </si>
  <si>
    <t>2023-03-28</t>
  </si>
  <si>
    <t>E1584</t>
  </si>
  <si>
    <t>Anjali Mehta</t>
  </si>
  <si>
    <t>2023-09-02</t>
  </si>
  <si>
    <t>E1585</t>
  </si>
  <si>
    <t>2018-01-29</t>
  </si>
  <si>
    <t>E1586</t>
  </si>
  <si>
    <t>E1587</t>
  </si>
  <si>
    <t>2021-03-13</t>
  </si>
  <si>
    <t>E1588</t>
  </si>
  <si>
    <t>Shweta Nair</t>
  </si>
  <si>
    <t>2024-03-23</t>
  </si>
  <si>
    <t>E1589</t>
  </si>
  <si>
    <t>2020-04-13</t>
  </si>
  <si>
    <t>E1590</t>
  </si>
  <si>
    <t>2023-04-10</t>
  </si>
  <si>
    <t>E1591</t>
  </si>
  <si>
    <t>Nikhil Gupta</t>
  </si>
  <si>
    <t>E1592</t>
  </si>
  <si>
    <t>E1593</t>
  </si>
  <si>
    <t>2024-10-29</t>
  </si>
  <si>
    <t>E1594</t>
  </si>
  <si>
    <t>2017-12-08</t>
  </si>
  <si>
    <t>E1595</t>
  </si>
  <si>
    <t>Kavita Chauhan</t>
  </si>
  <si>
    <t>2015-02-27</t>
  </si>
  <si>
    <t>E1596</t>
  </si>
  <si>
    <t>Anita Das</t>
  </si>
  <si>
    <t>2016-06-17</t>
  </si>
  <si>
    <t>E1597</t>
  </si>
  <si>
    <t>Ravi Singh</t>
  </si>
  <si>
    <t>2018-04-03</t>
  </si>
  <si>
    <t>E1598</t>
  </si>
  <si>
    <t>Anjali Sharma</t>
  </si>
  <si>
    <t>2016-06-29</t>
  </si>
  <si>
    <t>E1599</t>
  </si>
  <si>
    <t>2018-09-25</t>
  </si>
  <si>
    <t>E1600</t>
  </si>
  <si>
    <t>Rahul Rao</t>
  </si>
  <si>
    <t>2021-12-13</t>
  </si>
  <si>
    <t>2023-02-13</t>
  </si>
  <si>
    <t>E1601</t>
  </si>
  <si>
    <t>2016-01-03</t>
  </si>
  <si>
    <t>E1602</t>
  </si>
  <si>
    <t>2025-02-14</t>
  </si>
  <si>
    <t>E1603</t>
  </si>
  <si>
    <t>E1604</t>
  </si>
  <si>
    <t>Gaurav Verma</t>
  </si>
  <si>
    <t>2018-12-31</t>
  </si>
  <si>
    <t>E1605</t>
  </si>
  <si>
    <t>Anjali Gupta</t>
  </si>
  <si>
    <t>2017-01-09</t>
  </si>
  <si>
    <t>E1606</t>
  </si>
  <si>
    <t>Ravi Patel</t>
  </si>
  <si>
    <t>2023-08-13</t>
  </si>
  <si>
    <t>E1607</t>
  </si>
  <si>
    <t>2016-09-21</t>
  </si>
  <si>
    <t>E1608</t>
  </si>
  <si>
    <t>Ashok Kapoor</t>
  </si>
  <si>
    <t>2023-03-16</t>
  </si>
  <si>
    <t>E1609</t>
  </si>
  <si>
    <t>Vikram Bose</t>
  </si>
  <si>
    <t>E1610</t>
  </si>
  <si>
    <t>2018-05-07</t>
  </si>
  <si>
    <t>E1611</t>
  </si>
  <si>
    <t>2020-05-05</t>
  </si>
  <si>
    <t>E1612</t>
  </si>
  <si>
    <t>Nisha Patel</t>
  </si>
  <si>
    <t>2026-06-22</t>
  </si>
  <si>
    <t>E1613</t>
  </si>
  <si>
    <t>Deepak Kapoor</t>
  </si>
  <si>
    <t>2015-11-21</t>
  </si>
  <si>
    <t>E1614</t>
  </si>
  <si>
    <t>Anita Chauhan</t>
  </si>
  <si>
    <t>2021-03-06</t>
  </si>
  <si>
    <t>E1615</t>
  </si>
  <si>
    <t>2023-08-15</t>
  </si>
  <si>
    <t>E1616</t>
  </si>
  <si>
    <t>Anita Reddy</t>
  </si>
  <si>
    <t>2023-06-30</t>
  </si>
  <si>
    <t>E1617</t>
  </si>
  <si>
    <t>2015-03-15</t>
  </si>
  <si>
    <t>E1618</t>
  </si>
  <si>
    <t>Anita Bhatt</t>
  </si>
  <si>
    <t>2023-07-15</t>
  </si>
  <si>
    <t>E1619</t>
  </si>
  <si>
    <t>2022-04-10</t>
  </si>
  <si>
    <t>2024-02-15</t>
  </si>
  <si>
    <t>E1620</t>
  </si>
  <si>
    <t>Nisha Sharma</t>
  </si>
  <si>
    <t>2016-11-11</t>
  </si>
  <si>
    <t>E1621</t>
  </si>
  <si>
    <t>Neha Reddy</t>
  </si>
  <si>
    <t>E1622</t>
  </si>
  <si>
    <t>Gaurav Chopra</t>
  </si>
  <si>
    <t>E1623</t>
  </si>
  <si>
    <t>Ritu Patel</t>
  </si>
  <si>
    <t>E1624</t>
  </si>
  <si>
    <t>Rohan Nair</t>
  </si>
  <si>
    <t>2020-04-06</t>
  </si>
  <si>
    <t>2025-09-05</t>
  </si>
  <si>
    <t>E1625</t>
  </si>
  <si>
    <t>2023-12-20</t>
  </si>
  <si>
    <t>E1626</t>
  </si>
  <si>
    <t>2021-10-17</t>
  </si>
  <si>
    <t>E1627</t>
  </si>
  <si>
    <t>2024-04-14</t>
  </si>
  <si>
    <t>2025-01-31</t>
  </si>
  <si>
    <t>E1628</t>
  </si>
  <si>
    <t>Gaurav Rao</t>
  </si>
  <si>
    <t>2023-10-20</t>
  </si>
  <si>
    <t>E1629</t>
  </si>
  <si>
    <t>Amit Kapoor</t>
  </si>
  <si>
    <t>E1630</t>
  </si>
  <si>
    <t>2025-03-20</t>
  </si>
  <si>
    <t>E1631</t>
  </si>
  <si>
    <t>2024-07-07</t>
  </si>
  <si>
    <t>E1632</t>
  </si>
  <si>
    <t>Manoj Iyer</t>
  </si>
  <si>
    <t>2024-01-07</t>
  </si>
  <si>
    <t>E1633</t>
  </si>
  <si>
    <t>2019-12-18</t>
  </si>
  <si>
    <t>2021-12-20</t>
  </si>
  <si>
    <t>E1634</t>
  </si>
  <si>
    <t>Neha Singh</t>
  </si>
  <si>
    <t>2015-08-25</t>
  </si>
  <si>
    <t>E1635</t>
  </si>
  <si>
    <t>Sunita Sharma</t>
  </si>
  <si>
    <t>2025-02-04</t>
  </si>
  <si>
    <t>E1636</t>
  </si>
  <si>
    <t>2024-11-17</t>
  </si>
  <si>
    <t>E1637</t>
  </si>
  <si>
    <t>2021-03-10</t>
  </si>
  <si>
    <t>E1638</t>
  </si>
  <si>
    <t>E1639</t>
  </si>
  <si>
    <t>2024-01-12</t>
  </si>
  <si>
    <t>E1640</t>
  </si>
  <si>
    <t>2025-03-13</t>
  </si>
  <si>
    <t>E1641</t>
  </si>
  <si>
    <t>Ravi Malhotra</t>
  </si>
  <si>
    <t>2016-01-13</t>
  </si>
  <si>
    <t>2022-02-05</t>
  </si>
  <si>
    <t>E1642</t>
  </si>
  <si>
    <t>Shweta Chauhan</t>
  </si>
  <si>
    <t>2022-02-19</t>
  </si>
  <si>
    <t>2023-01-05</t>
  </si>
  <si>
    <t>E1643</t>
  </si>
  <si>
    <t>2016-04-28</t>
  </si>
  <si>
    <t>E1644</t>
  </si>
  <si>
    <t>Pooja Kumar</t>
  </si>
  <si>
    <t>2021-05-30</t>
  </si>
  <si>
    <t>E1645</t>
  </si>
  <si>
    <t>Priya Singh</t>
  </si>
  <si>
    <t>2023-10-16</t>
  </si>
  <si>
    <t>E1646</t>
  </si>
  <si>
    <t>E1647</t>
  </si>
  <si>
    <t>2023-07-17</t>
  </si>
  <si>
    <t>E1648</t>
  </si>
  <si>
    <t>2015-07-07</t>
  </si>
  <si>
    <t>E1649</t>
  </si>
  <si>
    <t>Ritu Kumar</t>
  </si>
  <si>
    <t>2015-12-15</t>
  </si>
  <si>
    <t>E1650</t>
  </si>
  <si>
    <t>Payal Sharma</t>
  </si>
  <si>
    <t>2022-05-20</t>
  </si>
  <si>
    <t>2026-07-03</t>
  </si>
  <si>
    <t>E1651</t>
  </si>
  <si>
    <t>2019-07-04</t>
  </si>
  <si>
    <t>E1652</t>
  </si>
  <si>
    <t>Shweta Patel</t>
  </si>
  <si>
    <t>2016-02-11</t>
  </si>
  <si>
    <t>E1653</t>
  </si>
  <si>
    <t>Ashok Reddy</t>
  </si>
  <si>
    <t>2015-04-22</t>
  </si>
  <si>
    <t>E1654</t>
  </si>
  <si>
    <t>2017-09-08</t>
  </si>
  <si>
    <t>E1655</t>
  </si>
  <si>
    <t>Anil Kapoor</t>
  </si>
  <si>
    <t>2019-07-26</t>
  </si>
  <si>
    <t>2026-04-20</t>
  </si>
  <si>
    <t>E1656</t>
  </si>
  <si>
    <t>Sunil Singh</t>
  </si>
  <si>
    <t>2021-05-16</t>
  </si>
  <si>
    <t>E1657</t>
  </si>
  <si>
    <t>Ritu Kapoor</t>
  </si>
  <si>
    <t>2015-01-05</t>
  </si>
  <si>
    <t>2025-12-28</t>
  </si>
  <si>
    <t>E1658</t>
  </si>
  <si>
    <t>2021-07-24</t>
  </si>
  <si>
    <t>E1659</t>
  </si>
  <si>
    <t>2018-02-18</t>
  </si>
  <si>
    <t>E1660</t>
  </si>
  <si>
    <t>2022-06-05</t>
  </si>
  <si>
    <t>2026-06-20</t>
  </si>
  <si>
    <t>E1661</t>
  </si>
  <si>
    <t>Ashok Das</t>
  </si>
  <si>
    <t>E1662</t>
  </si>
  <si>
    <t>2025-01-03</t>
  </si>
  <si>
    <t>E1663</t>
  </si>
  <si>
    <t>2019-02-26</t>
  </si>
  <si>
    <t>E1664</t>
  </si>
  <si>
    <t>2024-01-25</t>
  </si>
  <si>
    <t>E1665</t>
  </si>
  <si>
    <t>2016-03-30</t>
  </si>
  <si>
    <t>E1666</t>
  </si>
  <si>
    <t>Vikram Chauhan</t>
  </si>
  <si>
    <t>2023-05-14</t>
  </si>
  <si>
    <t>E1667</t>
  </si>
  <si>
    <t>E1668</t>
  </si>
  <si>
    <t>Nisha Rao</t>
  </si>
  <si>
    <t>E1669</t>
  </si>
  <si>
    <t>Nisha Bose</t>
  </si>
  <si>
    <t>E1670</t>
  </si>
  <si>
    <t>2016-11-04</t>
  </si>
  <si>
    <t>E1671</t>
  </si>
  <si>
    <t>Shweta Mehta</t>
  </si>
  <si>
    <t>2020-04-23</t>
  </si>
  <si>
    <t>E1672</t>
  </si>
  <si>
    <t>Pooja Kapoor</t>
  </si>
  <si>
    <t>2015-12-17</t>
  </si>
  <si>
    <t>E1673</t>
  </si>
  <si>
    <t>2015-09-27</t>
  </si>
  <si>
    <t>E1674</t>
  </si>
  <si>
    <t>Vivek Chopra</t>
  </si>
  <si>
    <t>2023-12-01</t>
  </si>
  <si>
    <t>E1675</t>
  </si>
  <si>
    <t>Seema Gupta</t>
  </si>
  <si>
    <t>2022-01-08</t>
  </si>
  <si>
    <t>E1676</t>
  </si>
  <si>
    <t>2017-01-31</t>
  </si>
  <si>
    <t>2024-07-22</t>
  </si>
  <si>
    <t>E1677</t>
  </si>
  <si>
    <t>2021-10-07</t>
  </si>
  <si>
    <t>E1678</t>
  </si>
  <si>
    <t>2017-03-31</t>
  </si>
  <si>
    <t>E1679</t>
  </si>
  <si>
    <t>E1680</t>
  </si>
  <si>
    <t>Sanjay Kapoor</t>
  </si>
  <si>
    <t>2017-09-06</t>
  </si>
  <si>
    <t>E1681</t>
  </si>
  <si>
    <t>Vikram Iyer</t>
  </si>
  <si>
    <t>2021-03-22</t>
  </si>
  <si>
    <t>E1682</t>
  </si>
  <si>
    <t>2016-12-14</t>
  </si>
  <si>
    <t>2019-04-25</t>
  </si>
  <si>
    <t>E1683</t>
  </si>
  <si>
    <t>2023-08-04</t>
  </si>
  <si>
    <t>E1684</t>
  </si>
  <si>
    <t>Anjali Kumar</t>
  </si>
  <si>
    <t>2024-11-24</t>
  </si>
  <si>
    <t>E1685</t>
  </si>
  <si>
    <t>E1686</t>
  </si>
  <si>
    <t>2023-11-14</t>
  </si>
  <si>
    <t>E1687</t>
  </si>
  <si>
    <t>2020-11-22</t>
  </si>
  <si>
    <t>E1688</t>
  </si>
  <si>
    <t>Karan Mehta</t>
  </si>
  <si>
    <t>E1689</t>
  </si>
  <si>
    <t>2019-12-26</t>
  </si>
  <si>
    <t>E1690</t>
  </si>
  <si>
    <t>Nisha Malhotra</t>
  </si>
  <si>
    <t>2024-01-09</t>
  </si>
  <si>
    <t>E1691</t>
  </si>
  <si>
    <t>2020-10-01</t>
  </si>
  <si>
    <t>2021-05-05</t>
  </si>
  <si>
    <t>E1692</t>
  </si>
  <si>
    <t>Meena Reddy</t>
  </si>
  <si>
    <t>2018-05-24</t>
  </si>
  <si>
    <t>E1693</t>
  </si>
  <si>
    <t>2019-07-20</t>
  </si>
  <si>
    <t>E1694</t>
  </si>
  <si>
    <t>Gaurav Mehta</t>
  </si>
  <si>
    <t>2021-08-01</t>
  </si>
  <si>
    <t>E1695</t>
  </si>
  <si>
    <t>E1696</t>
  </si>
  <si>
    <t>Sunita Reddy</t>
  </si>
  <si>
    <t>2019-09-13</t>
  </si>
  <si>
    <t>2020-03-22</t>
  </si>
  <si>
    <t>E1697</t>
  </si>
  <si>
    <t>2024-09-21</t>
  </si>
  <si>
    <t>E1698</t>
  </si>
  <si>
    <t>Seema Kapoor</t>
  </si>
  <si>
    <t>E1699</t>
  </si>
  <si>
    <t>2017-04-23</t>
  </si>
  <si>
    <t>E1700</t>
  </si>
  <si>
    <t>2016-06-12</t>
  </si>
  <si>
    <t>2018-12-01</t>
  </si>
  <si>
    <t>E1701</t>
  </si>
  <si>
    <t>E1702</t>
  </si>
  <si>
    <t>2018-09-09</t>
  </si>
  <si>
    <t>E1703</t>
  </si>
  <si>
    <t>Sunita Nair</t>
  </si>
  <si>
    <t>2021-11-15</t>
  </si>
  <si>
    <t>E1704</t>
  </si>
  <si>
    <t>Prakash Kumar</t>
  </si>
  <si>
    <t>2022-11-01</t>
  </si>
  <si>
    <t>E1705</t>
  </si>
  <si>
    <t>E1706</t>
  </si>
  <si>
    <t>2015-04-20</t>
  </si>
  <si>
    <t>E1707</t>
  </si>
  <si>
    <t>2018-09-01</t>
  </si>
  <si>
    <t>E1708</t>
  </si>
  <si>
    <t>Sneha Das</t>
  </si>
  <si>
    <t>2025-09-12</t>
  </si>
  <si>
    <t>E1709</t>
  </si>
  <si>
    <t>Manoj Singh</t>
  </si>
  <si>
    <t>2019-01-06</t>
  </si>
  <si>
    <t>2026-04-19</t>
  </si>
  <si>
    <t>E1710</t>
  </si>
  <si>
    <t>2015-08-03</t>
  </si>
  <si>
    <t>E1711</t>
  </si>
  <si>
    <t>Rahul Malhotra</t>
  </si>
  <si>
    <t>2015-03-01</t>
  </si>
  <si>
    <t>E1712</t>
  </si>
  <si>
    <t>Amit Malhotra</t>
  </si>
  <si>
    <t>2016-03-17</t>
  </si>
  <si>
    <t>E1713</t>
  </si>
  <si>
    <t>2016-03-09</t>
  </si>
  <si>
    <t>2018-09-26</t>
  </si>
  <si>
    <t>E1714</t>
  </si>
  <si>
    <t>E1715</t>
  </si>
  <si>
    <t>2025-12-22</t>
  </si>
  <si>
    <t>E1716</t>
  </si>
  <si>
    <t>2026-05-13</t>
  </si>
  <si>
    <t>E1717</t>
  </si>
  <si>
    <t>Ravi Mehta</t>
  </si>
  <si>
    <t>2015-09-03</t>
  </si>
  <si>
    <t>2016-04-05</t>
  </si>
  <si>
    <t>E1718</t>
  </si>
  <si>
    <t>2018-07-24</t>
  </si>
  <si>
    <t>E1719</t>
  </si>
  <si>
    <t>E1720</t>
  </si>
  <si>
    <t>2017-02-27</t>
  </si>
  <si>
    <t>E1721</t>
  </si>
  <si>
    <t>2016-11-03</t>
  </si>
  <si>
    <t>2023-06-21</t>
  </si>
  <si>
    <t>E1722</t>
  </si>
  <si>
    <t>Manoj Das</t>
  </si>
  <si>
    <t>2019-01-12</t>
  </si>
  <si>
    <t>E1723</t>
  </si>
  <si>
    <t>2024-07-30</t>
  </si>
  <si>
    <t>E1724</t>
  </si>
  <si>
    <t>Anita Kapoor</t>
  </si>
  <si>
    <t>2019-03-17</t>
  </si>
  <si>
    <t>E1725</t>
  </si>
  <si>
    <t>2020-07-05</t>
  </si>
  <si>
    <t>E1726</t>
  </si>
  <si>
    <t>Neha Kumar</t>
  </si>
  <si>
    <t>2025-06-15</t>
  </si>
  <si>
    <t>E1727</t>
  </si>
  <si>
    <t>E1728</t>
  </si>
  <si>
    <t>2022-08-21</t>
  </si>
  <si>
    <t>E1729</t>
  </si>
  <si>
    <t>2020-10-24</t>
  </si>
  <si>
    <t>E1730</t>
  </si>
  <si>
    <t>Seema Nair</t>
  </si>
  <si>
    <t>E1731</t>
  </si>
  <si>
    <t>2016-11-20</t>
  </si>
  <si>
    <t>E1732</t>
  </si>
  <si>
    <t>2019-03-15</t>
  </si>
  <si>
    <t>E1733</t>
  </si>
  <si>
    <t>2023-05-30</t>
  </si>
  <si>
    <t>E1734</t>
  </si>
  <si>
    <t>Vikram Nair</t>
  </si>
  <si>
    <t>2019-03-28</t>
  </si>
  <si>
    <t>E1735</t>
  </si>
  <si>
    <t>Amit Rao</t>
  </si>
  <si>
    <t>2022-06-18</t>
  </si>
  <si>
    <t>E1736</t>
  </si>
  <si>
    <t>Komal Reddy</t>
  </si>
  <si>
    <t>2018-10-10</t>
  </si>
  <si>
    <t>E1737</t>
  </si>
  <si>
    <t>Ajay Reddy</t>
  </si>
  <si>
    <t>2015-01-13</t>
  </si>
  <si>
    <t>E1738</t>
  </si>
  <si>
    <t>Ajay Kapoor</t>
  </si>
  <si>
    <t>2024-12-23</t>
  </si>
  <si>
    <t>E1739</t>
  </si>
  <si>
    <t>Rita Mehta</t>
  </si>
  <si>
    <t>2019-06-28</t>
  </si>
  <si>
    <t>E1740</t>
  </si>
  <si>
    <t>2022-12-26</t>
  </si>
  <si>
    <t>E1741</t>
  </si>
  <si>
    <t>2020-05-28</t>
  </si>
  <si>
    <t>E1742</t>
  </si>
  <si>
    <t>2023-08-05</t>
  </si>
  <si>
    <t>2026-07-07</t>
  </si>
  <si>
    <t>E1743</t>
  </si>
  <si>
    <t>2022-03-22</t>
  </si>
  <si>
    <t>2023-01-12</t>
  </si>
  <si>
    <t>E1744</t>
  </si>
  <si>
    <t>Vikram Reddy</t>
  </si>
  <si>
    <t>2023-05-08</t>
  </si>
  <si>
    <t>E1745</t>
  </si>
  <si>
    <t>2017-02-16</t>
  </si>
  <si>
    <t>E1746</t>
  </si>
  <si>
    <t>2021-01-13</t>
  </si>
  <si>
    <t>E1747</t>
  </si>
  <si>
    <t>2018-06-19</t>
  </si>
  <si>
    <t>E1748</t>
  </si>
  <si>
    <t>E1749</t>
  </si>
  <si>
    <t>Rahul Bose</t>
  </si>
  <si>
    <t>2018-10-14</t>
  </si>
  <si>
    <t>E1750</t>
  </si>
  <si>
    <t>2016-06-20</t>
  </si>
  <si>
    <t>2018-03-05</t>
  </si>
  <si>
    <t>E1751</t>
  </si>
  <si>
    <t>2017-06-12</t>
  </si>
  <si>
    <t>2026-06-02</t>
  </si>
  <si>
    <t>E1752</t>
  </si>
  <si>
    <t>2018-12-27</t>
  </si>
  <si>
    <t>E1753</t>
  </si>
  <si>
    <t>2017-09-13</t>
  </si>
  <si>
    <t>E1754</t>
  </si>
  <si>
    <t>2022-02-03</t>
  </si>
  <si>
    <t>2025-11-07</t>
  </si>
  <si>
    <t>E1755</t>
  </si>
  <si>
    <t>E1756</t>
  </si>
  <si>
    <t>2018-08-25</t>
  </si>
  <si>
    <t>2025-01-17</t>
  </si>
  <si>
    <t>E1757</t>
  </si>
  <si>
    <t>2023-01-02</t>
  </si>
  <si>
    <t>E1758</t>
  </si>
  <si>
    <t>Sunil Kapoor</t>
  </si>
  <si>
    <t>2016-05-18</t>
  </si>
  <si>
    <t>E1759</t>
  </si>
  <si>
    <t>Rajesh Nair</t>
  </si>
  <si>
    <t>2021-02-07</t>
  </si>
  <si>
    <t>E1760</t>
  </si>
  <si>
    <t>Sneha Chauhan</t>
  </si>
  <si>
    <t>2022-10-18</t>
  </si>
  <si>
    <t>E1761</t>
  </si>
  <si>
    <t>Amit Gupta</t>
  </si>
  <si>
    <t>2018-05-12</t>
  </si>
  <si>
    <t>E1762</t>
  </si>
  <si>
    <t>2017-12-03</t>
  </si>
  <si>
    <t>E1763</t>
  </si>
  <si>
    <t>E1764</t>
  </si>
  <si>
    <t>E1765</t>
  </si>
  <si>
    <t>Sneha Mehta</t>
  </si>
  <si>
    <t>2015-02-10</t>
  </si>
  <si>
    <t>2022-02-24</t>
  </si>
  <si>
    <t>E1766</t>
  </si>
  <si>
    <t>Rajesh Iyer</t>
  </si>
  <si>
    <t>2024-09-14</t>
  </si>
  <si>
    <t>2025-12-16</t>
  </si>
  <si>
    <t>E1767</t>
  </si>
  <si>
    <t>Komal Chauhan</t>
  </si>
  <si>
    <t>2017-11-27</t>
  </si>
  <si>
    <t>E1768</t>
  </si>
  <si>
    <t>Ajay Mehta</t>
  </si>
  <si>
    <t>2022-12-04</t>
  </si>
  <si>
    <t>E1769</t>
  </si>
  <si>
    <t>Deepak Patel</t>
  </si>
  <si>
    <t>2019-07-24</t>
  </si>
  <si>
    <t>E1770</t>
  </si>
  <si>
    <t>2025-06-04</t>
  </si>
  <si>
    <t>2026-04-14</t>
  </si>
  <si>
    <t>E1771</t>
  </si>
  <si>
    <t>Nikhil Sharma</t>
  </si>
  <si>
    <t>E1772</t>
  </si>
  <si>
    <t>E1773</t>
  </si>
  <si>
    <t>Ravi Das</t>
  </si>
  <si>
    <t>E1774</t>
  </si>
  <si>
    <t>2017-05-22</t>
  </si>
  <si>
    <t>E1775</t>
  </si>
  <si>
    <t>Vivek Bhatt</t>
  </si>
  <si>
    <t>2015-08-24</t>
  </si>
  <si>
    <t>2019-09-24</t>
  </si>
  <si>
    <t>E1776</t>
  </si>
  <si>
    <t>2019-10-31</t>
  </si>
  <si>
    <t>E1777</t>
  </si>
  <si>
    <t>2019-06-08</t>
  </si>
  <si>
    <t>E1778</t>
  </si>
  <si>
    <t>2015-01-24</t>
  </si>
  <si>
    <t>2024-09-02</t>
  </si>
  <si>
    <t>E1779</t>
  </si>
  <si>
    <t>2022-06-17</t>
  </si>
  <si>
    <t>E1780</t>
  </si>
  <si>
    <t>Swati Pillai</t>
  </si>
  <si>
    <t>2016-06-22</t>
  </si>
  <si>
    <t>E1781</t>
  </si>
  <si>
    <t>2019-11-15</t>
  </si>
  <si>
    <t>E1782</t>
  </si>
  <si>
    <t>E1783</t>
  </si>
  <si>
    <t>2017-07-28</t>
  </si>
  <si>
    <t>E1784</t>
  </si>
  <si>
    <t>2020-11-20</t>
  </si>
  <si>
    <t>2023-06-12</t>
  </si>
  <si>
    <t>E1785</t>
  </si>
  <si>
    <t>2018-02-23</t>
  </si>
  <si>
    <t>E1786</t>
  </si>
  <si>
    <t>Meena Nair</t>
  </si>
  <si>
    <t>2018-02-21</t>
  </si>
  <si>
    <t>E1787</t>
  </si>
  <si>
    <t>2018-09-18</t>
  </si>
  <si>
    <t>E1788</t>
  </si>
  <si>
    <t>2022-01-22</t>
  </si>
  <si>
    <t>E1789</t>
  </si>
  <si>
    <t>Pooja Patel</t>
  </si>
  <si>
    <t>2021-12-10</t>
  </si>
  <si>
    <t>2023-03-07</t>
  </si>
  <si>
    <t>E1790</t>
  </si>
  <si>
    <t>2020-01-11</t>
  </si>
  <si>
    <t>E1791</t>
  </si>
  <si>
    <t>E1792</t>
  </si>
  <si>
    <t>2019-04-23</t>
  </si>
  <si>
    <t>E1793</t>
  </si>
  <si>
    <t>Prakash Sharma</t>
  </si>
  <si>
    <t>E1794</t>
  </si>
  <si>
    <t>2025-07-31</t>
  </si>
  <si>
    <t>E1795</t>
  </si>
  <si>
    <t>Karan Bose</t>
  </si>
  <si>
    <t>2015-01-06</t>
  </si>
  <si>
    <t>E1796</t>
  </si>
  <si>
    <t>Ravi Bhatt</t>
  </si>
  <si>
    <t>2018-08-22</t>
  </si>
  <si>
    <t>E1797</t>
  </si>
  <si>
    <t>E1798</t>
  </si>
  <si>
    <t>2016-08-30</t>
  </si>
  <si>
    <t>E1799</t>
  </si>
  <si>
    <t>2018-06-24</t>
  </si>
  <si>
    <t>2019-06-14</t>
  </si>
  <si>
    <t>E1800</t>
  </si>
  <si>
    <t>Swati Kumar</t>
  </si>
  <si>
    <t>2016-07-16</t>
  </si>
  <si>
    <t>2025-12-21</t>
  </si>
  <si>
    <t>E1801</t>
  </si>
  <si>
    <t>2018-01-01</t>
  </si>
  <si>
    <t>E1802</t>
  </si>
  <si>
    <t>Karan Singh</t>
  </si>
  <si>
    <t>2023-07-09</t>
  </si>
  <si>
    <t>2023-12-30</t>
  </si>
  <si>
    <t>E1803</t>
  </si>
  <si>
    <t>2024-04-01</t>
  </si>
  <si>
    <t>2025-01-15</t>
  </si>
  <si>
    <t>E1804</t>
  </si>
  <si>
    <t>2022-05-08</t>
  </si>
  <si>
    <t>2024-02-04</t>
  </si>
  <si>
    <t>E1805</t>
  </si>
  <si>
    <t>2025-01-16</t>
  </si>
  <si>
    <t>E1806</t>
  </si>
  <si>
    <t>2018-11-27</t>
  </si>
  <si>
    <t>E1807</t>
  </si>
  <si>
    <t>2016-08-28</t>
  </si>
  <si>
    <t>E1808</t>
  </si>
  <si>
    <t>Anil Singh</t>
  </si>
  <si>
    <t>2023-08-10</t>
  </si>
  <si>
    <t>E1809</t>
  </si>
  <si>
    <t>2019-09-11</t>
  </si>
  <si>
    <t>E1810</t>
  </si>
  <si>
    <t>2022-11-19</t>
  </si>
  <si>
    <t>E1811</t>
  </si>
  <si>
    <t>Amit Iyer</t>
  </si>
  <si>
    <t>2024-07-08</t>
  </si>
  <si>
    <t>E1812</t>
  </si>
  <si>
    <t>Sanjay Verma</t>
  </si>
  <si>
    <t>2016-04-25</t>
  </si>
  <si>
    <t>E1813</t>
  </si>
  <si>
    <t>2015-05-04</t>
  </si>
  <si>
    <t>E1814</t>
  </si>
  <si>
    <t>Gaurav Singh</t>
  </si>
  <si>
    <t>E1815</t>
  </si>
  <si>
    <t>2020-08-23</t>
  </si>
  <si>
    <t>E1816</t>
  </si>
  <si>
    <t>2018-01-18</t>
  </si>
  <si>
    <t>E1817</t>
  </si>
  <si>
    <t>2024-02-27</t>
  </si>
  <si>
    <t>E1818</t>
  </si>
  <si>
    <t>2016-03-20</t>
  </si>
  <si>
    <t>2022-06-15</t>
  </si>
  <si>
    <t>E1819</t>
  </si>
  <si>
    <t>2017-02-07</t>
  </si>
  <si>
    <t>E1820</t>
  </si>
  <si>
    <t>2018-06-18</t>
  </si>
  <si>
    <t>E1821</t>
  </si>
  <si>
    <t>2019-07-27</t>
  </si>
  <si>
    <t>E1822</t>
  </si>
  <si>
    <t>2022-08-27</t>
  </si>
  <si>
    <t>E1823</t>
  </si>
  <si>
    <t>2018-04-06</t>
  </si>
  <si>
    <t>E1824</t>
  </si>
  <si>
    <t>2016-02-03</t>
  </si>
  <si>
    <t>E1825</t>
  </si>
  <si>
    <t>E1826</t>
  </si>
  <si>
    <t>2021-05-18</t>
  </si>
  <si>
    <t>E1827</t>
  </si>
  <si>
    <t>2019-03-11</t>
  </si>
  <si>
    <t>2026-07-29</t>
  </si>
  <si>
    <t>E1828</t>
  </si>
  <si>
    <t>Sunil Sharma</t>
  </si>
  <si>
    <t>2024-07-26</t>
  </si>
  <si>
    <t>2026-01-10</t>
  </si>
  <si>
    <t>E1829</t>
  </si>
  <si>
    <t>Rita Kapoor</t>
  </si>
  <si>
    <t>2025-02-03</t>
  </si>
  <si>
    <t>E1830</t>
  </si>
  <si>
    <t>2018-07-23</t>
  </si>
  <si>
    <t>E1831</t>
  </si>
  <si>
    <t>2016-08-19</t>
  </si>
  <si>
    <t>2025-11-11</t>
  </si>
  <si>
    <t>E1832</t>
  </si>
  <si>
    <t>2024-09-25</t>
  </si>
  <si>
    <t>E1833</t>
  </si>
  <si>
    <t>2020-11-19</t>
  </si>
  <si>
    <t>E1834</t>
  </si>
  <si>
    <t>2020-05-01</t>
  </si>
  <si>
    <t>E1835</t>
  </si>
  <si>
    <t>2018-08-19</t>
  </si>
  <si>
    <t>E1836</t>
  </si>
  <si>
    <t>Ravi Rao</t>
  </si>
  <si>
    <t>2023-02-06</t>
  </si>
  <si>
    <t>E1837</t>
  </si>
  <si>
    <t>E1838</t>
  </si>
  <si>
    <t>2025-01-20</t>
  </si>
  <si>
    <t>2025-09-17</t>
  </si>
  <si>
    <t>E1839</t>
  </si>
  <si>
    <t>Pooja Joshi</t>
  </si>
  <si>
    <t>2019-10-21</t>
  </si>
  <si>
    <t>E1840</t>
  </si>
  <si>
    <t>2015-12-25</t>
  </si>
  <si>
    <t>E1841</t>
  </si>
  <si>
    <t>Vivek Pillai</t>
  </si>
  <si>
    <t>2022-06-27</t>
  </si>
  <si>
    <t>E1842</t>
  </si>
  <si>
    <t>2019-08-19</t>
  </si>
  <si>
    <t>E1843</t>
  </si>
  <si>
    <t>2015-01-18</t>
  </si>
  <si>
    <t>E1844</t>
  </si>
  <si>
    <t>Rekha Joshi</t>
  </si>
  <si>
    <t>2019-10-28</t>
  </si>
  <si>
    <t>E1845</t>
  </si>
  <si>
    <t>2025-02-20</t>
  </si>
  <si>
    <t>E1846</t>
  </si>
  <si>
    <t>Shweta Bose</t>
  </si>
  <si>
    <t>2018-08-13</t>
  </si>
  <si>
    <t>E1847</t>
  </si>
  <si>
    <t>2023-04-29</t>
  </si>
  <si>
    <t>E1848</t>
  </si>
  <si>
    <t>2018-01-31</t>
  </si>
  <si>
    <t>2024-12-05</t>
  </si>
  <si>
    <t>E1849</t>
  </si>
  <si>
    <t>Deepak Rao</t>
  </si>
  <si>
    <t>2016-01-16</t>
  </si>
  <si>
    <t>E1850</t>
  </si>
  <si>
    <t>2019-03-18</t>
  </si>
  <si>
    <t>E1851</t>
  </si>
  <si>
    <t>Suresh Reddy</t>
  </si>
  <si>
    <t>2020-06-05</t>
  </si>
  <si>
    <t>E1852</t>
  </si>
  <si>
    <t>2020-09-27</t>
  </si>
  <si>
    <t>2022-06-16</t>
  </si>
  <si>
    <t>E1853</t>
  </si>
  <si>
    <t>Manoj Rao</t>
  </si>
  <si>
    <t>2017-03-27</t>
  </si>
  <si>
    <t>E1854</t>
  </si>
  <si>
    <t>Meena Rao</t>
  </si>
  <si>
    <t>2017-03-21</t>
  </si>
  <si>
    <t>E1855</t>
  </si>
  <si>
    <t>Nisha Kapoor</t>
  </si>
  <si>
    <t>2021-09-08</t>
  </si>
  <si>
    <t>E1856</t>
  </si>
  <si>
    <t>2024-12-22</t>
  </si>
  <si>
    <t>E1857</t>
  </si>
  <si>
    <t>Swati Sharma</t>
  </si>
  <si>
    <t>2017-01-06</t>
  </si>
  <si>
    <t>E1858</t>
  </si>
  <si>
    <t>2018-07-28</t>
  </si>
  <si>
    <t>E1859</t>
  </si>
  <si>
    <t>2020-11-29</t>
  </si>
  <si>
    <t>2026-01-30</t>
  </si>
  <si>
    <t>E1860</t>
  </si>
  <si>
    <t>2017-03-18</t>
  </si>
  <si>
    <t>2022-06-14</t>
  </si>
  <si>
    <t>E1861</t>
  </si>
  <si>
    <t>Seema Chopra</t>
  </si>
  <si>
    <t>2021-06-18</t>
  </si>
  <si>
    <t>2026-05-06</t>
  </si>
  <si>
    <t>E1862</t>
  </si>
  <si>
    <t>Anil Sharma</t>
  </si>
  <si>
    <t>2020-04-08</t>
  </si>
  <si>
    <t>E1863</t>
  </si>
  <si>
    <t>Nidhi Verma</t>
  </si>
  <si>
    <t>E1864</t>
  </si>
  <si>
    <t>2016-07-22</t>
  </si>
  <si>
    <t>2025-10-30</t>
  </si>
  <si>
    <t>E1865</t>
  </si>
  <si>
    <t>2016-03-29</t>
  </si>
  <si>
    <t>E1866</t>
  </si>
  <si>
    <t>2016-05-06</t>
  </si>
  <si>
    <t>E1867</t>
  </si>
  <si>
    <t>E1868</t>
  </si>
  <si>
    <t>2020-07-18</t>
  </si>
  <si>
    <t>2021-11-18</t>
  </si>
  <si>
    <t>E1869</t>
  </si>
  <si>
    <t>2024-07-04</t>
  </si>
  <si>
    <t>E1870</t>
  </si>
  <si>
    <t>2019-09-29</t>
  </si>
  <si>
    <t>E1871</t>
  </si>
  <si>
    <t>Sanjay Sharma</t>
  </si>
  <si>
    <t>E1872</t>
  </si>
  <si>
    <t>Meena Singh</t>
  </si>
  <si>
    <t>2020-08-18</t>
  </si>
  <si>
    <t>2025-01-30</t>
  </si>
  <si>
    <t>E1873</t>
  </si>
  <si>
    <t>Deepak Gupta</t>
  </si>
  <si>
    <t>2016-12-24</t>
  </si>
  <si>
    <t>2017-09-14</t>
  </si>
  <si>
    <t>E1874</t>
  </si>
  <si>
    <t>2025-01-14</t>
  </si>
  <si>
    <t>2026-06-09</t>
  </si>
  <si>
    <t>E1875</t>
  </si>
  <si>
    <t>Swati Chopra</t>
  </si>
  <si>
    <t>2017-06-19</t>
  </si>
  <si>
    <t>E1876</t>
  </si>
  <si>
    <t>E1877</t>
  </si>
  <si>
    <t>2025-08-16</t>
  </si>
  <si>
    <t>E1878</t>
  </si>
  <si>
    <t>2021-07-16</t>
  </si>
  <si>
    <t>E1879</t>
  </si>
  <si>
    <t>2018-06-01</t>
  </si>
  <si>
    <t>E1880</t>
  </si>
  <si>
    <t>Shweta Iyer</t>
  </si>
  <si>
    <t>2015-02-25</t>
  </si>
  <si>
    <t>E1881</t>
  </si>
  <si>
    <t>2025-02-17</t>
  </si>
  <si>
    <t>E1882</t>
  </si>
  <si>
    <t>2025-04-28</t>
  </si>
  <si>
    <t>E1883</t>
  </si>
  <si>
    <t>2019-05-21</t>
  </si>
  <si>
    <t>E1884</t>
  </si>
  <si>
    <t>2023-11-21</t>
  </si>
  <si>
    <t>2025-12-17</t>
  </si>
  <si>
    <t>E1885</t>
  </si>
  <si>
    <t>2018-05-28</t>
  </si>
  <si>
    <t>2025-03-21</t>
  </si>
  <si>
    <t>E1886</t>
  </si>
  <si>
    <t>Anita Sharma</t>
  </si>
  <si>
    <t>2018-12-13</t>
  </si>
  <si>
    <t>E1887</t>
  </si>
  <si>
    <t>E1888</t>
  </si>
  <si>
    <t>E1889</t>
  </si>
  <si>
    <t>2019-09-02</t>
  </si>
  <si>
    <t>E1890</t>
  </si>
  <si>
    <t>Nikhil Malhotra</t>
  </si>
  <si>
    <t>2016-07-21</t>
  </si>
  <si>
    <t>E1891</t>
  </si>
  <si>
    <t>2025-03-26</t>
  </si>
  <si>
    <t>E1892</t>
  </si>
  <si>
    <t>E1893</t>
  </si>
  <si>
    <t>E1894</t>
  </si>
  <si>
    <t>2023-04-17</t>
  </si>
  <si>
    <t>E1895</t>
  </si>
  <si>
    <t>Deepak Nair</t>
  </si>
  <si>
    <t>2024-01-13</t>
  </si>
  <si>
    <t>E1896</t>
  </si>
  <si>
    <t>Sanjay Gupta</t>
  </si>
  <si>
    <t>2020-04-24</t>
  </si>
  <si>
    <t>2025-11-25</t>
  </si>
  <si>
    <t>E1897</t>
  </si>
  <si>
    <t>Nidhi Kapoor</t>
  </si>
  <si>
    <t>2019-11-06</t>
  </si>
  <si>
    <t>E1898</t>
  </si>
  <si>
    <t>2018-03-31</t>
  </si>
  <si>
    <t>E1899</t>
  </si>
  <si>
    <t>2015-04-25</t>
  </si>
  <si>
    <t>2022-09-17</t>
  </si>
  <si>
    <t>E1900</t>
  </si>
  <si>
    <t>2020-03-31</t>
  </si>
  <si>
    <t>E1901</t>
  </si>
  <si>
    <t>2015-09-15</t>
  </si>
  <si>
    <t>E1902</t>
  </si>
  <si>
    <t>2019-03-23</t>
  </si>
  <si>
    <t>E1903</t>
  </si>
  <si>
    <t>2021-07-22</t>
  </si>
  <si>
    <t>2022-04-05</t>
  </si>
  <si>
    <t>E1904</t>
  </si>
  <si>
    <t>2023-08-28</t>
  </si>
  <si>
    <t>E1905</t>
  </si>
  <si>
    <t>2015-06-03</t>
  </si>
  <si>
    <t>E1906</t>
  </si>
  <si>
    <t>2022-02-23</t>
  </si>
  <si>
    <t>E1907</t>
  </si>
  <si>
    <t>Ravi Pillai</t>
  </si>
  <si>
    <t>2015-12-19</t>
  </si>
  <si>
    <t>E1908</t>
  </si>
  <si>
    <t>E1909</t>
  </si>
  <si>
    <t>2015-11-17</t>
  </si>
  <si>
    <t>E1910</t>
  </si>
  <si>
    <t>Sanjay Nair</t>
  </si>
  <si>
    <t>2019-05-19</t>
  </si>
  <si>
    <t>E1911</t>
  </si>
  <si>
    <t>E1912</t>
  </si>
  <si>
    <t>Shweta Gupta</t>
  </si>
  <si>
    <t>2024-12-16</t>
  </si>
  <si>
    <t>2025-04-18</t>
  </si>
  <si>
    <t>E1913</t>
  </si>
  <si>
    <t>2018-11-17</t>
  </si>
  <si>
    <t>E1914</t>
  </si>
  <si>
    <t>2020-07-27</t>
  </si>
  <si>
    <t>2021-05-09</t>
  </si>
  <si>
    <t>E1915</t>
  </si>
  <si>
    <t>2015-08-02</t>
  </si>
  <si>
    <t>E1916</t>
  </si>
  <si>
    <t>2017-03-04</t>
  </si>
  <si>
    <t>2021-12-19</t>
  </si>
  <si>
    <t>E1917</t>
  </si>
  <si>
    <t>2015-11-10</t>
  </si>
  <si>
    <t>E1918</t>
  </si>
  <si>
    <t>2020-05-14</t>
  </si>
  <si>
    <t>2024-07-14</t>
  </si>
  <si>
    <t>E1919</t>
  </si>
  <si>
    <t>Sunita Bose</t>
  </si>
  <si>
    <t>2024-09-29</t>
  </si>
  <si>
    <t>E1920</t>
  </si>
  <si>
    <t>E1921</t>
  </si>
  <si>
    <t>2022-04-16</t>
  </si>
  <si>
    <t>E1922</t>
  </si>
  <si>
    <t>2020-07-21</t>
  </si>
  <si>
    <t>E1923</t>
  </si>
  <si>
    <t>2023-07-23</t>
  </si>
  <si>
    <t>E1924</t>
  </si>
  <si>
    <t>Anil Bhatt</t>
  </si>
  <si>
    <t>2024-09-16</t>
  </si>
  <si>
    <t>E1925</t>
  </si>
  <si>
    <t>Nisha Chauhan</t>
  </si>
  <si>
    <t>2023-11-15</t>
  </si>
  <si>
    <t>E1926</t>
  </si>
  <si>
    <t>2018-04-26</t>
  </si>
  <si>
    <t>E1927</t>
  </si>
  <si>
    <t>Suresh Nair</t>
  </si>
  <si>
    <t>2022-05-30</t>
  </si>
  <si>
    <t>E1928</t>
  </si>
  <si>
    <t>2019-08-01</t>
  </si>
  <si>
    <t>E1929</t>
  </si>
  <si>
    <t>Shweta Rao</t>
  </si>
  <si>
    <t>2016-06-05</t>
  </si>
  <si>
    <t>2023-12-07</t>
  </si>
  <si>
    <t>E1930</t>
  </si>
  <si>
    <t>E1931</t>
  </si>
  <si>
    <t>E1932</t>
  </si>
  <si>
    <t>Anjali Malhotra</t>
  </si>
  <si>
    <t>2016-08-09</t>
  </si>
  <si>
    <t>E1933</t>
  </si>
  <si>
    <t>E1934</t>
  </si>
  <si>
    <t>Meena Chopra</t>
  </si>
  <si>
    <t>2022-05-15</t>
  </si>
  <si>
    <t>E1935</t>
  </si>
  <si>
    <t>2026-06-17</t>
  </si>
  <si>
    <t>E1936</t>
  </si>
  <si>
    <t>2017-08-03</t>
  </si>
  <si>
    <t>E1937</t>
  </si>
  <si>
    <t>Ajay Das</t>
  </si>
  <si>
    <t>2020-01-13</t>
  </si>
  <si>
    <t>2024-10-07</t>
  </si>
  <si>
    <t>E1938</t>
  </si>
  <si>
    <t>2018-10-31</t>
  </si>
  <si>
    <t>E1939</t>
  </si>
  <si>
    <t>Vivek Sharma</t>
  </si>
  <si>
    <t>2016-05-09</t>
  </si>
  <si>
    <t>E1940</t>
  </si>
  <si>
    <t>Vikram Singh</t>
  </si>
  <si>
    <t>2024-09-20</t>
  </si>
  <si>
    <t>E1941</t>
  </si>
  <si>
    <t>Pooja Reddy</t>
  </si>
  <si>
    <t>2021-08-19</t>
  </si>
  <si>
    <t>E1942</t>
  </si>
  <si>
    <t>Nisha Nair</t>
  </si>
  <si>
    <t>2022-11-07</t>
  </si>
  <si>
    <t>E1943</t>
  </si>
  <si>
    <t>2019-12-02</t>
  </si>
  <si>
    <t>E1944</t>
  </si>
  <si>
    <t>2025-08-20</t>
  </si>
  <si>
    <t>E1945</t>
  </si>
  <si>
    <t>2018-03-25</t>
  </si>
  <si>
    <t>E1946</t>
  </si>
  <si>
    <t>2021-03-11</t>
  </si>
  <si>
    <t>E1947</t>
  </si>
  <si>
    <t>2019-02-22</t>
  </si>
  <si>
    <t>E1948</t>
  </si>
  <si>
    <t>Vivek Malhotra</t>
  </si>
  <si>
    <t>2017-12-13</t>
  </si>
  <si>
    <t>E1949</t>
  </si>
  <si>
    <t>2018-10-05</t>
  </si>
  <si>
    <t>E1950</t>
  </si>
  <si>
    <t>Meena Bose</t>
  </si>
  <si>
    <t>2022-02-11</t>
  </si>
  <si>
    <t>E1951</t>
  </si>
  <si>
    <t>Gaurav Joshi</t>
  </si>
  <si>
    <t>2018-03-03</t>
  </si>
  <si>
    <t>2024-08-02</t>
  </si>
  <si>
    <t>E1952</t>
  </si>
  <si>
    <t>2021-11-17</t>
  </si>
  <si>
    <t>E1953</t>
  </si>
  <si>
    <t>2024-05-31</t>
  </si>
  <si>
    <t>E1954</t>
  </si>
  <si>
    <t>2016-04-19</t>
  </si>
  <si>
    <t>E1955</t>
  </si>
  <si>
    <t>Divya Sharma</t>
  </si>
  <si>
    <t>2018-01-02</t>
  </si>
  <si>
    <t>E1956</t>
  </si>
  <si>
    <t>Rita Malhotra</t>
  </si>
  <si>
    <t>E1957</t>
  </si>
  <si>
    <t>2021-01-04</t>
  </si>
  <si>
    <t>E1958</t>
  </si>
  <si>
    <t>2025-03-25</t>
  </si>
  <si>
    <t>E1959</t>
  </si>
  <si>
    <t>E1960</t>
  </si>
  <si>
    <t>2022-05-25</t>
  </si>
  <si>
    <t>E1961</t>
  </si>
  <si>
    <t>2024-03-05</t>
  </si>
  <si>
    <t>E1962</t>
  </si>
  <si>
    <t>2016-01-27</t>
  </si>
  <si>
    <t>E1963</t>
  </si>
  <si>
    <t>2021-12-29</t>
  </si>
  <si>
    <t>E1964</t>
  </si>
  <si>
    <t>Anita Bose</t>
  </si>
  <si>
    <t>2017-09-28</t>
  </si>
  <si>
    <t>E1965</t>
  </si>
  <si>
    <t>2019-02-23</t>
  </si>
  <si>
    <t>E1966</t>
  </si>
  <si>
    <t>Karan Das</t>
  </si>
  <si>
    <t>2015-12-10</t>
  </si>
  <si>
    <t>E1967</t>
  </si>
  <si>
    <t>2024-05-10</t>
  </si>
  <si>
    <t>E1968</t>
  </si>
  <si>
    <t>2020-03-04</t>
  </si>
  <si>
    <t>E1969</t>
  </si>
  <si>
    <t>Rahul Joshi</t>
  </si>
  <si>
    <t>2023-05-23</t>
  </si>
  <si>
    <t>E1970</t>
  </si>
  <si>
    <t>2019-06-24</t>
  </si>
  <si>
    <t>2023-04-04</t>
  </si>
  <si>
    <t>E1971</t>
  </si>
  <si>
    <t>Arjun Nair</t>
  </si>
  <si>
    <t>2022-09-06</t>
  </si>
  <si>
    <t>E1972</t>
  </si>
  <si>
    <t>Rohan Pillai</t>
  </si>
  <si>
    <t>2019-06-26</t>
  </si>
  <si>
    <t>E1973</t>
  </si>
  <si>
    <t>2016-01-23</t>
  </si>
  <si>
    <t>E1974</t>
  </si>
  <si>
    <t>E1975</t>
  </si>
  <si>
    <t>2022-03-05</t>
  </si>
  <si>
    <t>E1976</t>
  </si>
  <si>
    <t>Rekha Chauhan</t>
  </si>
  <si>
    <t>2024-01-20</t>
  </si>
  <si>
    <t>E1977</t>
  </si>
  <si>
    <t>Arjun Joshi</t>
  </si>
  <si>
    <t>2024-10-22</t>
  </si>
  <si>
    <t>2026-04-18</t>
  </si>
  <si>
    <t>E1978</t>
  </si>
  <si>
    <t>2019-03-26</t>
  </si>
  <si>
    <t>E1979</t>
  </si>
  <si>
    <t>Rohan Rao</t>
  </si>
  <si>
    <t>2024-06-02</t>
  </si>
  <si>
    <t>E1980</t>
  </si>
  <si>
    <t>Kavita Sharma</t>
  </si>
  <si>
    <t>E1981</t>
  </si>
  <si>
    <t>2019-12-16</t>
  </si>
  <si>
    <t>2024-04-03</t>
  </si>
  <si>
    <t>E1982</t>
  </si>
  <si>
    <t>2025-12-05</t>
  </si>
  <si>
    <t>E1983</t>
  </si>
  <si>
    <t>E1984</t>
  </si>
  <si>
    <t>2024-05-09</t>
  </si>
  <si>
    <t>2026-01-16</t>
  </si>
  <si>
    <t>E1985</t>
  </si>
  <si>
    <t>E1986</t>
  </si>
  <si>
    <t>E1987</t>
  </si>
  <si>
    <t>2018-01-26</t>
  </si>
  <si>
    <t>2023-06-05</t>
  </si>
  <si>
    <t>E1988</t>
  </si>
  <si>
    <t>E1989</t>
  </si>
  <si>
    <t>E1990</t>
  </si>
  <si>
    <t>2017-11-28</t>
  </si>
  <si>
    <t>E1991</t>
  </si>
  <si>
    <t>2016-09-29</t>
  </si>
  <si>
    <t>E1992</t>
  </si>
  <si>
    <t>2017-11-23</t>
  </si>
  <si>
    <t>E1993</t>
  </si>
  <si>
    <t>2021-04-28</t>
  </si>
  <si>
    <t>E1994</t>
  </si>
  <si>
    <t>E1995</t>
  </si>
  <si>
    <t>E1996</t>
  </si>
  <si>
    <t>Sanjay Pillai</t>
  </si>
  <si>
    <t>2019-09-21</t>
  </si>
  <si>
    <t>2021-10-01</t>
  </si>
  <si>
    <t>E1997</t>
  </si>
  <si>
    <t>Prakash Singh</t>
  </si>
  <si>
    <t>2022-06-10</t>
  </si>
  <si>
    <t>E1998</t>
  </si>
  <si>
    <t>E1999</t>
  </si>
  <si>
    <t>2015-01-21</t>
  </si>
  <si>
    <t>E2000</t>
  </si>
  <si>
    <t>2019-05-07</t>
  </si>
  <si>
    <t>E2001</t>
  </si>
  <si>
    <t>2020-06-23</t>
  </si>
  <si>
    <t>2023-04-12</t>
  </si>
  <si>
    <t>E2002</t>
  </si>
  <si>
    <t>2025-04-04</t>
  </si>
  <si>
    <t>E2003</t>
  </si>
  <si>
    <t>2018-03-13</t>
  </si>
  <si>
    <t>2026-01-04</t>
  </si>
  <si>
    <t>E2004</t>
  </si>
  <si>
    <t>Anjali Iyer</t>
  </si>
  <si>
    <t>2022-05-10</t>
  </si>
  <si>
    <t>E2005</t>
  </si>
  <si>
    <t>2023-08-26</t>
  </si>
  <si>
    <t>E2006</t>
  </si>
  <si>
    <t>2019-02-03</t>
  </si>
  <si>
    <t>E2007</t>
  </si>
  <si>
    <t>2017-03-20</t>
  </si>
  <si>
    <t>E2008</t>
  </si>
  <si>
    <t>2017-10-30</t>
  </si>
  <si>
    <t>E2009</t>
  </si>
  <si>
    <t>Rekha Nair</t>
  </si>
  <si>
    <t>2021-09-06</t>
  </si>
  <si>
    <t>2022-05-17</t>
  </si>
  <si>
    <t>E2010</t>
  </si>
  <si>
    <t>2018-11-15</t>
  </si>
  <si>
    <t>2022-09-12</t>
  </si>
  <si>
    <t>E2011</t>
  </si>
  <si>
    <t>2020-09-30</t>
  </si>
  <si>
    <t>E2012</t>
  </si>
  <si>
    <t>E2013</t>
  </si>
  <si>
    <t>E2014</t>
  </si>
  <si>
    <t>E2015</t>
  </si>
  <si>
    <t>Rahul Reddy</t>
  </si>
  <si>
    <t>2015-09-19</t>
  </si>
  <si>
    <t>E2016</t>
  </si>
  <si>
    <t>Ritu Sharma</t>
  </si>
  <si>
    <t>2018-10-27</t>
  </si>
  <si>
    <t>E2017</t>
  </si>
  <si>
    <t>2015-05-13</t>
  </si>
  <si>
    <t>E2018</t>
  </si>
  <si>
    <t>2020-01-24</t>
  </si>
  <si>
    <t>E2019</t>
  </si>
  <si>
    <t>Priya Nair</t>
  </si>
  <si>
    <t>2023-05-06</t>
  </si>
  <si>
    <t>E2020</t>
  </si>
  <si>
    <t>Meena Gupta</t>
  </si>
  <si>
    <t>E2021</t>
  </si>
  <si>
    <t>E2022</t>
  </si>
  <si>
    <t>2025-05-12</t>
  </si>
  <si>
    <t>E2023</t>
  </si>
  <si>
    <t>2019-09-10</t>
  </si>
  <si>
    <t>E2024</t>
  </si>
  <si>
    <t>E2025</t>
  </si>
  <si>
    <t>2023-02-09</t>
  </si>
  <si>
    <t>E2026</t>
  </si>
  <si>
    <t>2017-09-17</t>
  </si>
  <si>
    <t>E2027</t>
  </si>
  <si>
    <t>2022-08-25</t>
  </si>
  <si>
    <t>E2028</t>
  </si>
  <si>
    <t>Ashok Bose</t>
  </si>
  <si>
    <t>E2029</t>
  </si>
  <si>
    <t>Nisha Kumar</t>
  </si>
  <si>
    <t>E2030</t>
  </si>
  <si>
    <t>E2031</t>
  </si>
  <si>
    <t>2026-06-21</t>
  </si>
  <si>
    <t>E2032</t>
  </si>
  <si>
    <t>2021-05-14</t>
  </si>
  <si>
    <t>E2033</t>
  </si>
  <si>
    <t>2017-11-19</t>
  </si>
  <si>
    <t>E2034</t>
  </si>
  <si>
    <t>E2035</t>
  </si>
  <si>
    <t>E2036</t>
  </si>
  <si>
    <t>Karan Iyer</t>
  </si>
  <si>
    <t>2020-02-25</t>
  </si>
  <si>
    <t>E2037</t>
  </si>
  <si>
    <t>E2038</t>
  </si>
  <si>
    <t>2017-07-24</t>
  </si>
  <si>
    <t>E2039</t>
  </si>
  <si>
    <t>2018-05-25</t>
  </si>
  <si>
    <t>E2040</t>
  </si>
  <si>
    <t>Anil Patel</t>
  </si>
  <si>
    <t>2020-05-13</t>
  </si>
  <si>
    <t>E2041</t>
  </si>
  <si>
    <t>Seema Sharma</t>
  </si>
  <si>
    <t>2024-08-28</t>
  </si>
  <si>
    <t>E2042</t>
  </si>
  <si>
    <t>2020-07-10</t>
  </si>
  <si>
    <t>E2043</t>
  </si>
  <si>
    <t>Anil Rao</t>
  </si>
  <si>
    <t>2020-08-22</t>
  </si>
  <si>
    <t>E2044</t>
  </si>
  <si>
    <t>2023-07-12</t>
  </si>
  <si>
    <t>E2045</t>
  </si>
  <si>
    <t>E2046</t>
  </si>
  <si>
    <t>2023-08-06</t>
  </si>
  <si>
    <t>2026-06-01</t>
  </si>
  <si>
    <t>E2047</t>
  </si>
  <si>
    <t>2020-04-17</t>
  </si>
  <si>
    <t>E2048</t>
  </si>
  <si>
    <t>2019-05-31</t>
  </si>
  <si>
    <t>E2049</t>
  </si>
  <si>
    <t>Priya Gupta</t>
  </si>
  <si>
    <t>E2050</t>
  </si>
  <si>
    <t>Karan Bhatt</t>
  </si>
  <si>
    <t>2019-12-08</t>
  </si>
  <si>
    <t>E2051</t>
  </si>
  <si>
    <t>2021-10-22</t>
  </si>
  <si>
    <t>E2052</t>
  </si>
  <si>
    <t>E2053</t>
  </si>
  <si>
    <t>Sunil Patel</t>
  </si>
  <si>
    <t>2017-10-01</t>
  </si>
  <si>
    <t>E2054</t>
  </si>
  <si>
    <t>2017-01-24</t>
  </si>
  <si>
    <t>E2055</t>
  </si>
  <si>
    <t>2016-05-03</t>
  </si>
  <si>
    <t>E2056</t>
  </si>
  <si>
    <t>Priya Chauhan</t>
  </si>
  <si>
    <t>2015-05-12</t>
  </si>
  <si>
    <t>E2057</t>
  </si>
  <si>
    <t>Prakash Patel</t>
  </si>
  <si>
    <t>2023-10-03</t>
  </si>
  <si>
    <t>E2058</t>
  </si>
  <si>
    <t>2024-12-21</t>
  </si>
  <si>
    <t>E2059</t>
  </si>
  <si>
    <t>2018-04-18</t>
  </si>
  <si>
    <t>E2060</t>
  </si>
  <si>
    <t>2023-08-20</t>
  </si>
  <si>
    <t>E2061</t>
  </si>
  <si>
    <t>2023-09-28</t>
  </si>
  <si>
    <t>E2062</t>
  </si>
  <si>
    <t>2018-01-15</t>
  </si>
  <si>
    <t>E2063</t>
  </si>
  <si>
    <t>2022-01-17</t>
  </si>
  <si>
    <t>E2064</t>
  </si>
  <si>
    <t>2020-06-26</t>
  </si>
  <si>
    <t>E2065</t>
  </si>
  <si>
    <t>Shweta Pillai</t>
  </si>
  <si>
    <t>E2066</t>
  </si>
  <si>
    <t>Anita Mehta</t>
  </si>
  <si>
    <t>2022-04-18</t>
  </si>
  <si>
    <t>E2067</t>
  </si>
  <si>
    <t>Sanjay Joshi</t>
  </si>
  <si>
    <t>2019-12-21</t>
  </si>
  <si>
    <t>E2068</t>
  </si>
  <si>
    <t>Sunita Bhatt</t>
  </si>
  <si>
    <t>2024-03-26</t>
  </si>
  <si>
    <t>E2069</t>
  </si>
  <si>
    <t>2020-07-30</t>
  </si>
  <si>
    <t>2021-01-11</t>
  </si>
  <si>
    <t>E2070</t>
  </si>
  <si>
    <t>2025-09-29</t>
  </si>
  <si>
    <t>E2071</t>
  </si>
  <si>
    <t>2020-03-17</t>
  </si>
  <si>
    <t>E2072</t>
  </si>
  <si>
    <t>Komal Rao</t>
  </si>
  <si>
    <t>2018-08-15</t>
  </si>
  <si>
    <t>E2073</t>
  </si>
  <si>
    <t>2016-06-15</t>
  </si>
  <si>
    <t>2021-02-23</t>
  </si>
  <si>
    <t>E2074</t>
  </si>
  <si>
    <t>2017-01-26</t>
  </si>
  <si>
    <t>E2075</t>
  </si>
  <si>
    <t>2022-06-01</t>
  </si>
  <si>
    <t>E2076</t>
  </si>
  <si>
    <t>2018-08-14</t>
  </si>
  <si>
    <t>E2077</t>
  </si>
  <si>
    <t>2021-02-13</t>
  </si>
  <si>
    <t>E2078</t>
  </si>
  <si>
    <t>2017-12-12</t>
  </si>
  <si>
    <t>2020-08-28</t>
  </si>
  <si>
    <t>E2079</t>
  </si>
  <si>
    <t>E2080</t>
  </si>
  <si>
    <t>Payal Gupta</t>
  </si>
  <si>
    <t>E2081</t>
  </si>
  <si>
    <t>2017-08-01</t>
  </si>
  <si>
    <t>E2082</t>
  </si>
  <si>
    <t>2024-08-16</t>
  </si>
  <si>
    <t>E2083</t>
  </si>
  <si>
    <t>2015-11-03</t>
  </si>
  <si>
    <t>E2084</t>
  </si>
  <si>
    <t>2024-03-22</t>
  </si>
  <si>
    <t>E2085</t>
  </si>
  <si>
    <t>2025-01-04</t>
  </si>
  <si>
    <t>E2086</t>
  </si>
  <si>
    <t>E2087</t>
  </si>
  <si>
    <t>2024-10-24</t>
  </si>
  <si>
    <t>E2088</t>
  </si>
  <si>
    <t>E2089</t>
  </si>
  <si>
    <t>E2090</t>
  </si>
  <si>
    <t>2025-10-31</t>
  </si>
  <si>
    <t>E2091</t>
  </si>
  <si>
    <t>2015-06-22</t>
  </si>
  <si>
    <t>E2092</t>
  </si>
  <si>
    <t>Swati Verma</t>
  </si>
  <si>
    <t>2022-04-04</t>
  </si>
  <si>
    <t>E2093</t>
  </si>
  <si>
    <t>2017-01-10</t>
  </si>
  <si>
    <t>E2094</t>
  </si>
  <si>
    <t>Sunita Iyer</t>
  </si>
  <si>
    <t>2017-10-15</t>
  </si>
  <si>
    <t>E2095</t>
  </si>
  <si>
    <t>E2096</t>
  </si>
  <si>
    <t>2018-07-05</t>
  </si>
  <si>
    <t>E2097</t>
  </si>
  <si>
    <t>2015-03-07</t>
  </si>
  <si>
    <t>E2098</t>
  </si>
  <si>
    <t>Nikhil Bhatt</t>
  </si>
  <si>
    <t>2017-03-24</t>
  </si>
  <si>
    <t>E2099</t>
  </si>
  <si>
    <t>E2100</t>
  </si>
  <si>
    <t>E2101</t>
  </si>
  <si>
    <t>2021-03-07</t>
  </si>
  <si>
    <t>E2102</t>
  </si>
  <si>
    <t>2019-11-02</t>
  </si>
  <si>
    <t>E2103</t>
  </si>
  <si>
    <t>Sunil Chauhan</t>
  </si>
  <si>
    <t>2016-01-31</t>
  </si>
  <si>
    <t>E2104</t>
  </si>
  <si>
    <t>2018-01-07</t>
  </si>
  <si>
    <t>E2105</t>
  </si>
  <si>
    <t>2022-04-17</t>
  </si>
  <si>
    <t>E2106</t>
  </si>
  <si>
    <t>E2107</t>
  </si>
  <si>
    <t>E2108</t>
  </si>
  <si>
    <t>Rajesh Malhotra</t>
  </si>
  <si>
    <t>2023-03-20</t>
  </si>
  <si>
    <t>E2109</t>
  </si>
  <si>
    <t>E2110</t>
  </si>
  <si>
    <t>2025-04-01</t>
  </si>
  <si>
    <t>E2111</t>
  </si>
  <si>
    <t>2024-11-10</t>
  </si>
  <si>
    <t>2026-07-04</t>
  </si>
  <si>
    <t>E2112</t>
  </si>
  <si>
    <t>Swati Nair</t>
  </si>
  <si>
    <t>2023-12-21</t>
  </si>
  <si>
    <t>E2113</t>
  </si>
  <si>
    <t>2021-09-22</t>
  </si>
  <si>
    <t>E2114</t>
  </si>
  <si>
    <t>Sunil Kumar</t>
  </si>
  <si>
    <t>2025-06-26</t>
  </si>
  <si>
    <t>E2115</t>
  </si>
  <si>
    <t>2025-05-31</t>
  </si>
  <si>
    <t>E2116</t>
  </si>
  <si>
    <t>2015-06-20</t>
  </si>
  <si>
    <t>2022-12-22</t>
  </si>
  <si>
    <t>E2117</t>
  </si>
  <si>
    <t>2018-08-05</t>
  </si>
  <si>
    <t>E2118</t>
  </si>
  <si>
    <t>E2119</t>
  </si>
  <si>
    <t>2021-02-01</t>
  </si>
  <si>
    <t>E2120</t>
  </si>
  <si>
    <t>2024-08-25</t>
  </si>
  <si>
    <t>E2121</t>
  </si>
  <si>
    <t>2023-01-03</t>
  </si>
  <si>
    <t>2025-04-23</t>
  </si>
  <si>
    <t>E2122</t>
  </si>
  <si>
    <t>Deepak Sharma</t>
  </si>
  <si>
    <t>E2123</t>
  </si>
  <si>
    <t>Arjun Bhatt</t>
  </si>
  <si>
    <t>2021-12-21</t>
  </si>
  <si>
    <t>E2124</t>
  </si>
  <si>
    <t>2024-03-27</t>
  </si>
  <si>
    <t>2026-05-05</t>
  </si>
  <si>
    <t>E2125</t>
  </si>
  <si>
    <t>2026-06-18</t>
  </si>
  <si>
    <t>E2126</t>
  </si>
  <si>
    <t>2018-03-12</t>
  </si>
  <si>
    <t>E2127</t>
  </si>
  <si>
    <t>2020-04-04</t>
  </si>
  <si>
    <t>E2128</t>
  </si>
  <si>
    <t>2021-09-11</t>
  </si>
  <si>
    <t>E2129</t>
  </si>
  <si>
    <t>Kavita Iyer</t>
  </si>
  <si>
    <t>2017-04-01</t>
  </si>
  <si>
    <t>E2130</t>
  </si>
  <si>
    <t>2024-10-08</t>
  </si>
  <si>
    <t>E2131</t>
  </si>
  <si>
    <t>Vikram Malhotra</t>
  </si>
  <si>
    <t>2020-12-28</t>
  </si>
  <si>
    <t>E2132</t>
  </si>
  <si>
    <t>2015-08-28</t>
  </si>
  <si>
    <t>2021-12-08</t>
  </si>
  <si>
    <t>E2133</t>
  </si>
  <si>
    <t>E2134</t>
  </si>
  <si>
    <t>E2135</t>
  </si>
  <si>
    <t>E2136</t>
  </si>
  <si>
    <t>2024-11-28</t>
  </si>
  <si>
    <t>E2137</t>
  </si>
  <si>
    <t>Rajesh Gupta</t>
  </si>
  <si>
    <t>2017-06-07</t>
  </si>
  <si>
    <t>E2138</t>
  </si>
  <si>
    <t>2019-05-29</t>
  </si>
  <si>
    <t>E2139</t>
  </si>
  <si>
    <t>2021-03-09</t>
  </si>
  <si>
    <t>2022-07-04</t>
  </si>
  <si>
    <t>E2140</t>
  </si>
  <si>
    <t>2022-03-11</t>
  </si>
  <si>
    <t>2026-06-30</t>
  </si>
  <si>
    <t>E2141</t>
  </si>
  <si>
    <t>Nidhi Bhatt</t>
  </si>
  <si>
    <t>2023-09-15</t>
  </si>
  <si>
    <t>E2142</t>
  </si>
  <si>
    <t>Sunita Gupta</t>
  </si>
  <si>
    <t>E2143</t>
  </si>
  <si>
    <t>2016-02-20</t>
  </si>
  <si>
    <t>E2144</t>
  </si>
  <si>
    <t>Sunil Bose</t>
  </si>
  <si>
    <t>2022-11-06</t>
  </si>
  <si>
    <t>E2145</t>
  </si>
  <si>
    <t>2020-05-07</t>
  </si>
  <si>
    <t>E2146</t>
  </si>
  <si>
    <t>2022-07-14</t>
  </si>
  <si>
    <t>2024-05-18</t>
  </si>
  <si>
    <t>E2147</t>
  </si>
  <si>
    <t>2018-04-12</t>
  </si>
  <si>
    <t>2025-01-22</t>
  </si>
  <si>
    <t>E2148</t>
  </si>
  <si>
    <t>E2149</t>
  </si>
  <si>
    <t>2015-06-15</t>
  </si>
  <si>
    <t>2026-08-02</t>
  </si>
  <si>
    <t>E2150</t>
  </si>
  <si>
    <t>2025-02-21</t>
  </si>
  <si>
    <t>E2151</t>
  </si>
  <si>
    <t>2018-11-19</t>
  </si>
  <si>
    <t>2024-02-03</t>
  </si>
  <si>
    <t>E2152</t>
  </si>
  <si>
    <t>2025-11-09</t>
  </si>
  <si>
    <t>E2153</t>
  </si>
  <si>
    <t>2024-10-04</t>
  </si>
  <si>
    <t>E2154</t>
  </si>
  <si>
    <t>2022-11-24</t>
  </si>
  <si>
    <t>2024-05-14</t>
  </si>
  <si>
    <t>E2155</t>
  </si>
  <si>
    <t>2017-02-28</t>
  </si>
  <si>
    <t>E2156</t>
  </si>
  <si>
    <t>2015-01-26</t>
  </si>
  <si>
    <t>E2157</t>
  </si>
  <si>
    <t>2025-11-01</t>
  </si>
  <si>
    <t>E2158</t>
  </si>
  <si>
    <t>2024-03-31</t>
  </si>
  <si>
    <t>E2159</t>
  </si>
  <si>
    <t>E2160</t>
  </si>
  <si>
    <t>2022-10-30</t>
  </si>
  <si>
    <t>E2161</t>
  </si>
  <si>
    <t>2018-07-07</t>
  </si>
  <si>
    <t>E2162</t>
  </si>
  <si>
    <t>2024-09-28</t>
  </si>
  <si>
    <t>E2163</t>
  </si>
  <si>
    <t>2019-02-06</t>
  </si>
  <si>
    <t>2019-06-13</t>
  </si>
  <si>
    <t>E2164</t>
  </si>
  <si>
    <t>Manoj Reddy</t>
  </si>
  <si>
    <t>2015-03-30</t>
  </si>
  <si>
    <t>2022-03-18</t>
  </si>
  <si>
    <t>E2165</t>
  </si>
  <si>
    <t>2022-06-20</t>
  </si>
  <si>
    <t>E2166</t>
  </si>
  <si>
    <t>2015-02-23</t>
  </si>
  <si>
    <t>E2167</t>
  </si>
  <si>
    <t>2023-02-16</t>
  </si>
  <si>
    <t>2025-05-13</t>
  </si>
  <si>
    <t>E2168</t>
  </si>
  <si>
    <t>E2169</t>
  </si>
  <si>
    <t>E2170</t>
  </si>
  <si>
    <t>Nikhil Singh</t>
  </si>
  <si>
    <t>2015-11-30</t>
  </si>
  <si>
    <t>E2171</t>
  </si>
  <si>
    <t>Ajay Verma</t>
  </si>
  <si>
    <t>2017-10-07</t>
  </si>
  <si>
    <t>E2172</t>
  </si>
  <si>
    <t>2017-03-30</t>
  </si>
  <si>
    <t>E2173</t>
  </si>
  <si>
    <t>Divya Chopra</t>
  </si>
  <si>
    <t>2022-11-09</t>
  </si>
  <si>
    <t>2023-03-08</t>
  </si>
  <si>
    <t>E2174</t>
  </si>
  <si>
    <t>E2175</t>
  </si>
  <si>
    <t>2022-12-02</t>
  </si>
  <si>
    <t>E2176</t>
  </si>
  <si>
    <t>2016-08-03</t>
  </si>
  <si>
    <t>E2177</t>
  </si>
  <si>
    <t>2018-08-20</t>
  </si>
  <si>
    <t>E2178</t>
  </si>
  <si>
    <t>2016-02-23</t>
  </si>
  <si>
    <t>2020-02-29</t>
  </si>
  <si>
    <t>E2179</t>
  </si>
  <si>
    <t>E2180</t>
  </si>
  <si>
    <t>E2181</t>
  </si>
  <si>
    <t>2020-08-12</t>
  </si>
  <si>
    <t>E2182</t>
  </si>
  <si>
    <t>E2183</t>
  </si>
  <si>
    <t>Payal Joshi</t>
  </si>
  <si>
    <t>2017-05-21</t>
  </si>
  <si>
    <t>2021-11-26</t>
  </si>
  <si>
    <t>E2184</t>
  </si>
  <si>
    <t>E2185</t>
  </si>
  <si>
    <t>E2186</t>
  </si>
  <si>
    <t>2020-03-14</t>
  </si>
  <si>
    <t>E2187</t>
  </si>
  <si>
    <t>Meena Das</t>
  </si>
  <si>
    <t>2023-01-27</t>
  </si>
  <si>
    <t>E2188</t>
  </si>
  <si>
    <t>2024-12-01</t>
  </si>
  <si>
    <t>E2189</t>
  </si>
  <si>
    <t>Swati Chauhan</t>
  </si>
  <si>
    <t>2020-12-08</t>
  </si>
  <si>
    <t>E2190</t>
  </si>
  <si>
    <t>E2191</t>
  </si>
  <si>
    <t>2020-02-08</t>
  </si>
  <si>
    <t>E2192</t>
  </si>
  <si>
    <t>2022-08-09</t>
  </si>
  <si>
    <t>E2193</t>
  </si>
  <si>
    <t>E2194</t>
  </si>
  <si>
    <t>E2195</t>
  </si>
  <si>
    <t>2021-01-23</t>
  </si>
  <si>
    <t>E2196</t>
  </si>
  <si>
    <t>2019-01-15</t>
  </si>
  <si>
    <t>E2197</t>
  </si>
  <si>
    <t>E2198</t>
  </si>
  <si>
    <t>2024-05-29</t>
  </si>
  <si>
    <t>E2199</t>
  </si>
  <si>
    <t>2016-04-23</t>
  </si>
  <si>
    <t>E2200</t>
  </si>
  <si>
    <t>Row Labels</t>
  </si>
  <si>
    <t>Grand Total</t>
  </si>
  <si>
    <t>Column Labels</t>
  </si>
  <si>
    <t>Count of EmployeeID</t>
  </si>
  <si>
    <t>Avg Tenure</t>
  </si>
  <si>
    <t>Sum of MonthlyIncome</t>
  </si>
  <si>
    <t>Average of MonthlyIncome</t>
  </si>
  <si>
    <t>Average of TenureYears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</si>
</sst>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d\-mmm\-yyyy"/>
    <numFmt numFmtId="174" formatCode="0.0"/>
    <numFmt numFmtId="181" formatCode="&quot;₹&quot;\ #,##0"/>
  </numFmts>
  <fonts count="9" x14ac:knownFonts="1">
    <font>
      <sz val="11"/>
      <color theme="1"/>
      <name val="Calibri"/>
      <family val="2"/>
      <charset val="1"/>
    </font>
    <font>
      <sz val="10"/>
      <name val="Arial"/>
    </font>
    <font>
      <b/>
      <sz val="11"/>
      <color rgb="FFFFFFFF"/>
      <name val="Arial"/>
      <charset val="1"/>
    </font>
    <font>
      <sz val="10"/>
      <name val="Arial"/>
      <charset val="1"/>
    </font>
    <font>
      <b/>
      <sz val="28"/>
      <color theme="7" tint="0.79998168889431442"/>
      <name val="Calibri"/>
      <family val="2"/>
    </font>
    <font>
      <b/>
      <sz val="11"/>
      <color theme="7" tint="0.79998168889431442"/>
      <name val="Calibri"/>
      <family val="2"/>
    </font>
    <font>
      <b/>
      <sz val="28"/>
      <color theme="7" tint="0.79998168889431442"/>
      <name val="Arial"/>
      <family val="2"/>
    </font>
    <font>
      <b/>
      <sz val="11"/>
      <color theme="1"/>
      <name val="Calibri"/>
      <family val="2"/>
    </font>
    <font>
      <sz val="10"/>
      <color theme="7" tint="0.79998168889431442"/>
      <name val="Arial"/>
      <family val="2"/>
    </font>
  </fonts>
  <fills count="4">
    <fill>
      <patternFill patternType="none"/>
    </fill>
    <fill>
      <patternFill patternType="gray125"/>
    </fill>
    <fill>
      <patternFill patternType="solid">
        <fgColor rgb="FF1F4E78"/>
        <bgColor rgb="FF003366"/>
      </patternFill>
    </fill>
    <fill>
      <patternFill patternType="solid">
        <fgColor theme="7" tint="0.79998168889431442"/>
        <bgColor indexed="64"/>
      </patternFill>
    </fill>
  </fills>
  <borders count="1">
    <border>
      <left/>
      <right/>
      <top/>
      <bottom/>
      <diagonal/>
    </border>
  </borders>
  <cellStyleXfs count="2">
    <xf numFmtId="0" fontId="0" fillId="0" borderId="0"/>
    <xf numFmtId="9" fontId="1" fillId="0" borderId="0" applyBorder="0" applyAlignment="0" applyProtection="0"/>
  </cellStyleXfs>
  <cellXfs count="19">
    <xf numFmtId="0" fontId="0" fillId="0" borderId="0" xfId="0"/>
    <xf numFmtId="0" fontId="2" fillId="2" borderId="0" xfId="0" applyFont="1" applyFill="1" applyAlignment="1">
      <alignment horizontal="center" vertical="center"/>
    </xf>
    <xf numFmtId="0" fontId="3" fillId="0" borderId="0" xfId="0" applyFont="1"/>
    <xf numFmtId="165" fontId="3" fillId="0" borderId="0" xfId="0" applyNumberFormat="1" applyFont="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174" fontId="0" fillId="0" borderId="0" xfId="0" applyNumberFormat="1"/>
    <xf numFmtId="164" fontId="1" fillId="0" borderId="0" xfId="1" applyNumberFormat="1"/>
    <xf numFmtId="0" fontId="0" fillId="3" borderId="0" xfId="0" applyFill="1" applyBorder="1"/>
    <xf numFmtId="0" fontId="0" fillId="3" borderId="0" xfId="0" applyFill="1"/>
    <xf numFmtId="0" fontId="4" fillId="3" borderId="0" xfId="0" applyFont="1" applyFill="1" applyBorder="1" applyAlignment="1">
      <alignment horizontal="center"/>
    </xf>
    <xf numFmtId="0" fontId="5" fillId="3" borderId="0" xfId="0" applyFont="1" applyFill="1" applyBorder="1" applyAlignment="1">
      <alignment horizontal="center"/>
    </xf>
    <xf numFmtId="164" fontId="6" fillId="3" borderId="0" xfId="1" applyNumberFormat="1" applyFont="1" applyFill="1" applyBorder="1" applyAlignment="1">
      <alignment horizontal="center"/>
    </xf>
    <xf numFmtId="174" fontId="4" fillId="3" borderId="0" xfId="0" applyNumberFormat="1" applyFont="1" applyFill="1" applyBorder="1" applyAlignment="1">
      <alignment horizontal="center"/>
    </xf>
    <xf numFmtId="181" fontId="0" fillId="0" borderId="0" xfId="0" applyNumberFormat="1"/>
    <xf numFmtId="164" fontId="8" fillId="3" borderId="0" xfId="1" applyNumberFormat="1" applyFont="1" applyFill="1"/>
    <xf numFmtId="0" fontId="7" fillId="0" borderId="0" xfId="0" applyFont="1"/>
  </cellXfs>
  <cellStyles count="2">
    <cellStyle name="Normal" xfId="0" builtinId="0"/>
    <cellStyle name="Percent" xfId="1" builtinId="5"/>
  </cellStyles>
  <dxfs count="69">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numFmt numFmtId="2" formatCode="0.00"/>
    </dxf>
    <dxf>
      <numFmt numFmtId="2" formatCode="0.00"/>
    </dxf>
    <dxf>
      <numFmt numFmtId="174" formatCode="0.0"/>
    </dxf>
    <dxf>
      <font>
        <color rgb="FF9C6500"/>
        <name val="Arial"/>
        <charset val="1"/>
      </font>
      <fill>
        <patternFill>
          <bgColor rgb="FFFFEB9C"/>
        </patternFill>
      </fill>
    </dxf>
    <dxf>
      <font>
        <color rgb="FF9C0006"/>
        <name val="Arial"/>
        <charset val="1"/>
      </font>
      <fill>
        <patternFill>
          <bgColor rgb="FFFFC7CE"/>
        </patternFill>
      </fill>
    </dxf>
    <dxf>
      <numFmt numFmtId="2" formatCode="0.00"/>
    </dxf>
    <dxf>
      <numFmt numFmtId="2" formatCode="0.00"/>
    </dxf>
    <dxf>
      <numFmt numFmtId="174" formatCode="0.0"/>
    </dxf>
    <dxf>
      <font>
        <b/>
        <i val="0"/>
        <strike val="0"/>
        <condense val="0"/>
        <extend val="0"/>
        <outline val="0"/>
        <shadow val="0"/>
        <u val="none"/>
        <vertAlign val="baseline"/>
        <sz val="11"/>
        <color rgb="FFFFFFFF"/>
        <name val="Arial"/>
        <charset val="1"/>
        <scheme val="none"/>
      </font>
      <fill>
        <patternFill patternType="solid">
          <fgColor rgb="FF003366"/>
          <bgColor rgb="FF1F4E78"/>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5" formatCode="dd\-m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7B7B7"/>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FC7CE"/>
      <rgbColor rgb="FF4F81BD"/>
      <rgbColor rgb="FF33CCCC"/>
      <rgbColor rgb="FF9BBB59"/>
      <rgbColor rgb="FFFFCC00"/>
      <rgbColor rgb="FFBF8F00"/>
      <rgbColor rgb="FFFF6600"/>
      <rgbColor rgb="FF595959"/>
      <rgbColor rgb="FF878787"/>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[HR_Attrition_Dashboard.xlsx]PivotTable1!PivotTable1</c:name>
    <c:fmtId val="33"/>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Headcount vs Attrition by Department</a:t>
            </a:r>
            <a:endParaRPr lang="en-IN"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20000"/>
              <a:lumOff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PivotTable1!$B$3:$B$4</c:f>
              <c:strCache>
                <c:ptCount val="1"/>
                <c:pt idx="0">
                  <c:v>No</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PivotTable1!$A$5:$A$11</c:f>
              <c:strCache>
                <c:ptCount val="6"/>
                <c:pt idx="0">
                  <c:v>Finance</c:v>
                </c:pt>
                <c:pt idx="1">
                  <c:v>HR</c:v>
                </c:pt>
                <c:pt idx="2">
                  <c:v>IT</c:v>
                </c:pt>
                <c:pt idx="3">
                  <c:v>Marketing</c:v>
                </c:pt>
                <c:pt idx="4">
                  <c:v>Operations</c:v>
                </c:pt>
                <c:pt idx="5">
                  <c:v>Sales</c:v>
                </c:pt>
              </c:strCache>
            </c:strRef>
          </c:cat>
          <c:val>
            <c:numRef>
              <c:f>PivotTable1!$B$5:$B$11</c:f>
              <c:numCache>
                <c:formatCode>General</c:formatCode>
                <c:ptCount val="6"/>
                <c:pt idx="0">
                  <c:v>148</c:v>
                </c:pt>
                <c:pt idx="1">
                  <c:v>141</c:v>
                </c:pt>
                <c:pt idx="2">
                  <c:v>141</c:v>
                </c:pt>
                <c:pt idx="3">
                  <c:v>153</c:v>
                </c:pt>
                <c:pt idx="4">
                  <c:v>158</c:v>
                </c:pt>
                <c:pt idx="5">
                  <c:v>138</c:v>
                </c:pt>
              </c:numCache>
            </c:numRef>
          </c:val>
          <c:extLst>
            <c:ext xmlns:c16="http://schemas.microsoft.com/office/drawing/2014/chart" uri="{C3380CC4-5D6E-409C-BE32-E72D297353CC}">
              <c16:uniqueId val="{00000000-2F84-4BE3-85FF-D901C657BC43}"/>
            </c:ext>
          </c:extLst>
        </c:ser>
        <c:ser>
          <c:idx val="1"/>
          <c:order val="1"/>
          <c:tx>
            <c:strRef>
              <c:f>PivotTable1!$C$3:$C$4</c:f>
              <c:strCache>
                <c:ptCount val="1"/>
                <c:pt idx="0">
                  <c:v>Yes</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PivotTable1!$A$5:$A$11</c:f>
              <c:strCache>
                <c:ptCount val="6"/>
                <c:pt idx="0">
                  <c:v>Finance</c:v>
                </c:pt>
                <c:pt idx="1">
                  <c:v>HR</c:v>
                </c:pt>
                <c:pt idx="2">
                  <c:v>IT</c:v>
                </c:pt>
                <c:pt idx="3">
                  <c:v>Marketing</c:v>
                </c:pt>
                <c:pt idx="4">
                  <c:v>Operations</c:v>
                </c:pt>
                <c:pt idx="5">
                  <c:v>Sales</c:v>
                </c:pt>
              </c:strCache>
            </c:strRef>
          </c:cat>
          <c:val>
            <c:numRef>
              <c:f>PivotTable1!$C$5:$C$11</c:f>
              <c:numCache>
                <c:formatCode>General</c:formatCode>
                <c:ptCount val="6"/>
                <c:pt idx="0">
                  <c:v>48</c:v>
                </c:pt>
                <c:pt idx="1">
                  <c:v>64</c:v>
                </c:pt>
                <c:pt idx="2">
                  <c:v>47</c:v>
                </c:pt>
                <c:pt idx="3">
                  <c:v>64</c:v>
                </c:pt>
                <c:pt idx="4">
                  <c:v>46</c:v>
                </c:pt>
                <c:pt idx="5">
                  <c:v>52</c:v>
                </c:pt>
              </c:numCache>
            </c:numRef>
          </c:val>
          <c:extLst>
            <c:ext xmlns:c16="http://schemas.microsoft.com/office/drawing/2014/chart" uri="{C3380CC4-5D6E-409C-BE32-E72D297353CC}">
              <c16:uniqueId val="{00000001-2F84-4BE3-85FF-D901C657BC43}"/>
            </c:ext>
          </c:extLst>
        </c:ser>
        <c:dLbls>
          <c:showLegendKey val="0"/>
          <c:showVal val="0"/>
          <c:showCatName val="0"/>
          <c:showSerName val="0"/>
          <c:showPercent val="0"/>
          <c:showBubbleSize val="0"/>
        </c:dLbls>
        <c:gapWidth val="150"/>
        <c:axId val="344084816"/>
        <c:axId val="344083152"/>
      </c:barChart>
      <c:catAx>
        <c:axId val="344084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4083152"/>
        <c:crosses val="autoZero"/>
        <c:auto val="1"/>
        <c:lblAlgn val="ctr"/>
        <c:lblOffset val="100"/>
        <c:noMultiLvlLbl val="0"/>
      </c:catAx>
      <c:valAx>
        <c:axId val="344083152"/>
        <c:scaling>
          <c:orientation val="minMax"/>
        </c:scaling>
        <c:delete val="1"/>
        <c:axPos val="b"/>
        <c:numFmt formatCode="General" sourceLinked="1"/>
        <c:majorTickMark val="none"/>
        <c:minorTickMark val="none"/>
        <c:tickLblPos val="nextTo"/>
        <c:crossAx val="3440848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[HR_Attrition_Dashboard.xlsx]PivotTable2!PivotTable2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Split by OverTime Status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w="19050">
            <a:solidFill>
              <a:schemeClr val="lt1"/>
            </a:solidFill>
          </a:ln>
          <a:effectLst/>
        </c:spPr>
      </c:pivotFmt>
      <c:pivotFmt>
        <c:idx val="3"/>
        <c:spPr>
          <a:solidFill>
            <a:schemeClr val="accent4">
              <a:lumMod val="20000"/>
              <a:lumOff val="8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w="19050">
            <a:solidFill>
              <a:schemeClr val="lt1"/>
            </a:solidFill>
          </a:ln>
          <a:effectLst/>
        </c:spPr>
      </c:pivotFmt>
      <c:pivotFmt>
        <c:idx val="6"/>
        <c:spPr>
          <a:solidFill>
            <a:schemeClr val="accent4">
              <a:lumMod val="20000"/>
              <a:lumOff val="80000"/>
            </a:schemeClr>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w="19050">
            <a:solidFill>
              <a:schemeClr val="lt1"/>
            </a:solidFill>
          </a:ln>
          <a:effectLst/>
        </c:spPr>
      </c:pivotFmt>
      <c:pivotFmt>
        <c:idx val="12"/>
        <c:spPr>
          <a:solidFill>
            <a:schemeClr val="accent4">
              <a:lumMod val="20000"/>
              <a:lumOff val="8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20000"/>
              <a:lumOff val="80000"/>
            </a:schemeClr>
          </a:solidFill>
          <a:ln w="19050">
            <a:solidFill>
              <a:schemeClr val="lt1"/>
            </a:solidFill>
          </a:ln>
          <a:effectLst/>
        </c:spPr>
      </c:pivotFmt>
    </c:pivotFmts>
    <c:plotArea>
      <c:layout/>
      <c:pieChart>
        <c:varyColors val="1"/>
        <c:ser>
          <c:idx val="0"/>
          <c:order val="0"/>
          <c:tx>
            <c:strRef>
              <c:f>PivotTable2!$B$3:$B$4</c:f>
              <c:strCache>
                <c:ptCount val="1"/>
                <c:pt idx="0">
                  <c:v>No</c:v>
                </c:pt>
              </c:strCache>
            </c:strRef>
          </c:tx>
          <c:spPr>
            <a:solidFill>
              <a:schemeClr val="accent4">
                <a:lumMod val="50000"/>
              </a:schemeClr>
            </a:solidFill>
          </c:spPr>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0E87-4D65-A991-909DDED53E5C}"/>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0E87-4D65-A991-909DDED53E5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PivotTable2!$A$5:$A$7</c:f>
              <c:strCache>
                <c:ptCount val="2"/>
                <c:pt idx="0">
                  <c:v>No</c:v>
                </c:pt>
                <c:pt idx="1">
                  <c:v>Yes</c:v>
                </c:pt>
              </c:strCache>
            </c:strRef>
          </c:cat>
          <c:val>
            <c:numRef>
              <c:f>PivotTable2!$B$5:$B$7</c:f>
              <c:numCache>
                <c:formatCode>General</c:formatCode>
                <c:ptCount val="2"/>
                <c:pt idx="0">
                  <c:v>590</c:v>
                </c:pt>
                <c:pt idx="1">
                  <c:v>289</c:v>
                </c:pt>
              </c:numCache>
            </c:numRef>
          </c:val>
          <c:extLst>
            <c:ext xmlns:c16="http://schemas.microsoft.com/office/drawing/2014/chart" uri="{C3380CC4-5D6E-409C-BE32-E72D297353CC}">
              <c16:uniqueId val="{00000004-0E87-4D65-A991-909DDED53E5C}"/>
            </c:ext>
          </c:extLst>
        </c:ser>
        <c:ser>
          <c:idx val="1"/>
          <c:order val="1"/>
          <c:tx>
            <c:strRef>
              <c:f>PivotTable2!$C$3:$C$4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PivotTable2!$A$5:$A$7</c:f>
              <c:strCache>
                <c:ptCount val="2"/>
                <c:pt idx="0">
                  <c:v>No</c:v>
                </c:pt>
                <c:pt idx="1">
                  <c:v>Yes</c:v>
                </c:pt>
              </c:strCache>
            </c:strRef>
          </c:cat>
          <c:val>
            <c:numRef>
              <c:f>PivotTable2!$C$5:$C$7</c:f>
              <c:numCache>
                <c:formatCode>General</c:formatCode>
                <c:ptCount val="2"/>
                <c:pt idx="0">
                  <c:v>171</c:v>
                </c:pt>
                <c:pt idx="1">
                  <c:v>150</c:v>
                </c:pt>
              </c:numCache>
            </c:numRef>
          </c:val>
          <c:extLst>
            <c:ext xmlns:c16="http://schemas.microsoft.com/office/drawing/2014/chart" uri="{C3380CC4-5D6E-409C-BE32-E72D297353CC}">
              <c16:uniqueId val="{0000000B-0E87-4D65-A991-909DDED53E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[HR_Attrition_Dashboard.xlsx]PivotTable3!PivotTable3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Attrition by Job Satisfaction Level</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PivotTable3!$B$3:$B$4</c:f>
              <c:strCache>
                <c:ptCount val="1"/>
                <c:pt idx="0">
                  <c:v>No</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PivotTable3!$A$5:$A$10</c:f>
              <c:strCache>
                <c:ptCount val="5"/>
                <c:pt idx="0">
                  <c:v>1</c:v>
                </c:pt>
                <c:pt idx="1">
                  <c:v>2</c:v>
                </c:pt>
                <c:pt idx="2">
                  <c:v>3</c:v>
                </c:pt>
                <c:pt idx="3">
                  <c:v>4</c:v>
                </c:pt>
                <c:pt idx="4">
                  <c:v>5</c:v>
                </c:pt>
              </c:strCache>
            </c:strRef>
          </c:cat>
          <c:val>
            <c:numRef>
              <c:f>PivotTable3!$B$5:$B$10</c:f>
              <c:numCache>
                <c:formatCode>General</c:formatCode>
                <c:ptCount val="5"/>
                <c:pt idx="0">
                  <c:v>166</c:v>
                </c:pt>
                <c:pt idx="1">
                  <c:v>152</c:v>
                </c:pt>
                <c:pt idx="2">
                  <c:v>182</c:v>
                </c:pt>
                <c:pt idx="3">
                  <c:v>193</c:v>
                </c:pt>
                <c:pt idx="4">
                  <c:v>186</c:v>
                </c:pt>
              </c:numCache>
            </c:numRef>
          </c:val>
          <c:extLst>
            <c:ext xmlns:c16="http://schemas.microsoft.com/office/drawing/2014/chart" uri="{C3380CC4-5D6E-409C-BE32-E72D297353CC}">
              <c16:uniqueId val="{00000000-4B4F-4320-A4FF-EC4F1DA19D1C}"/>
            </c:ext>
          </c:extLst>
        </c:ser>
        <c:ser>
          <c:idx val="1"/>
          <c:order val="1"/>
          <c:tx>
            <c:strRef>
              <c:f>PivotTable3!$C$3:$C$4</c:f>
              <c:strCache>
                <c:ptCount val="1"/>
                <c:pt idx="0">
                  <c:v>Yes</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PivotTable3!$A$5:$A$10</c:f>
              <c:strCache>
                <c:ptCount val="5"/>
                <c:pt idx="0">
                  <c:v>1</c:v>
                </c:pt>
                <c:pt idx="1">
                  <c:v>2</c:v>
                </c:pt>
                <c:pt idx="2">
                  <c:v>3</c:v>
                </c:pt>
                <c:pt idx="3">
                  <c:v>4</c:v>
                </c:pt>
                <c:pt idx="4">
                  <c:v>5</c:v>
                </c:pt>
              </c:strCache>
            </c:strRef>
          </c:cat>
          <c:val>
            <c:numRef>
              <c:f>PivotTable3!$C$5:$C$10</c:f>
              <c:numCache>
                <c:formatCode>General</c:formatCode>
                <c:ptCount val="5"/>
                <c:pt idx="0">
                  <c:v>79</c:v>
                </c:pt>
                <c:pt idx="1">
                  <c:v>96</c:v>
                </c:pt>
                <c:pt idx="2">
                  <c:v>40</c:v>
                </c:pt>
                <c:pt idx="3">
                  <c:v>60</c:v>
                </c:pt>
                <c:pt idx="4">
                  <c:v>46</c:v>
                </c:pt>
              </c:numCache>
            </c:numRef>
          </c:val>
          <c:extLst>
            <c:ext xmlns:c16="http://schemas.microsoft.com/office/drawing/2014/chart" uri="{C3380CC4-5D6E-409C-BE32-E72D297353CC}">
              <c16:uniqueId val="{00000001-4B4F-4320-A4FF-EC4F1DA19D1C}"/>
            </c:ext>
          </c:extLst>
        </c:ser>
        <c:dLbls>
          <c:showLegendKey val="0"/>
          <c:showVal val="0"/>
          <c:showCatName val="0"/>
          <c:showSerName val="0"/>
          <c:showPercent val="0"/>
          <c:showBubbleSize val="0"/>
        </c:dLbls>
        <c:gapWidth val="219"/>
        <c:overlap val="-27"/>
        <c:axId val="1902152480"/>
        <c:axId val="1902140416"/>
      </c:barChart>
      <c:catAx>
        <c:axId val="1902152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2140416"/>
        <c:crosses val="autoZero"/>
        <c:auto val="1"/>
        <c:lblAlgn val="ctr"/>
        <c:lblOffset val="100"/>
        <c:noMultiLvlLbl val="0"/>
      </c:catAx>
      <c:valAx>
        <c:axId val="1902140416"/>
        <c:scaling>
          <c:orientation val="minMax"/>
        </c:scaling>
        <c:delete val="1"/>
        <c:axPos val="l"/>
        <c:numFmt formatCode="General" sourceLinked="1"/>
        <c:majorTickMark val="none"/>
        <c:minorTickMark val="none"/>
        <c:tickLblPos val="nextTo"/>
        <c:crossAx val="1902152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[HR_Attrition_Dashboard.xlsx]PivotTable4!PivotTable4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Average Monthly Income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PivotTable4!$B$3</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PivotTable4!$A$4:$A$10</c:f>
              <c:strCache>
                <c:ptCount val="6"/>
                <c:pt idx="0">
                  <c:v>Finance</c:v>
                </c:pt>
                <c:pt idx="1">
                  <c:v>HR</c:v>
                </c:pt>
                <c:pt idx="2">
                  <c:v>IT</c:v>
                </c:pt>
                <c:pt idx="3">
                  <c:v>Marketing</c:v>
                </c:pt>
                <c:pt idx="4">
                  <c:v>Operations</c:v>
                </c:pt>
                <c:pt idx="5">
                  <c:v>Sales</c:v>
                </c:pt>
              </c:strCache>
            </c:strRef>
          </c:cat>
          <c:val>
            <c:numRef>
              <c:f>PivotTable4!$B$4:$B$10</c:f>
              <c:numCache>
                <c:formatCode>"₹"\ #,##0</c:formatCode>
                <c:ptCount val="6"/>
                <c:pt idx="0">
                  <c:v>91365.163265306124</c:v>
                </c:pt>
                <c:pt idx="1">
                  <c:v>90832.951219512193</c:v>
                </c:pt>
                <c:pt idx="2">
                  <c:v>92770.281914893611</c:v>
                </c:pt>
                <c:pt idx="3">
                  <c:v>86631.82488479263</c:v>
                </c:pt>
                <c:pt idx="4">
                  <c:v>92405.333333333328</c:v>
                </c:pt>
                <c:pt idx="5">
                  <c:v>87253.468421052632</c:v>
                </c:pt>
              </c:numCache>
            </c:numRef>
          </c:val>
          <c:extLst>
            <c:ext xmlns:c16="http://schemas.microsoft.com/office/drawing/2014/chart" uri="{C3380CC4-5D6E-409C-BE32-E72D297353CC}">
              <c16:uniqueId val="{00000000-8810-4078-8577-9959CDDA281D}"/>
            </c:ext>
          </c:extLst>
        </c:ser>
        <c:dLbls>
          <c:showLegendKey val="0"/>
          <c:showVal val="0"/>
          <c:showCatName val="0"/>
          <c:showSerName val="0"/>
          <c:showPercent val="0"/>
          <c:showBubbleSize val="0"/>
        </c:dLbls>
        <c:gapWidth val="219"/>
        <c:overlap val="-27"/>
        <c:axId val="346085024"/>
        <c:axId val="346083776"/>
      </c:barChart>
      <c:catAx>
        <c:axId val="34608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083776"/>
        <c:crosses val="autoZero"/>
        <c:auto val="1"/>
        <c:lblAlgn val="ctr"/>
        <c:lblOffset val="100"/>
        <c:noMultiLvlLbl val="0"/>
      </c:catAx>
      <c:valAx>
        <c:axId val="346083776"/>
        <c:scaling>
          <c:orientation val="minMax"/>
        </c:scaling>
        <c:delete val="1"/>
        <c:axPos val="l"/>
        <c:numFmt formatCode="&quot;₹&quot;\ #,##0" sourceLinked="1"/>
        <c:majorTickMark val="none"/>
        <c:minorTickMark val="none"/>
        <c:tickLblPos val="nextTo"/>
        <c:crossAx val="346085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[HR_Attrition_Dashboard.xlsx]PivotTable5!PivotTable5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Gender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w="19050">
            <a:solidFill>
              <a:schemeClr val="lt1"/>
            </a:solidFill>
          </a:ln>
          <a:effectLst/>
        </c:spPr>
      </c:pivotFmt>
      <c:pivotFmt>
        <c:idx val="2"/>
        <c:spPr>
          <a:solidFill>
            <a:schemeClr val="accent4">
              <a:lumMod val="20000"/>
              <a:lumOff val="8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w="19050">
            <a:solidFill>
              <a:schemeClr val="lt1"/>
            </a:solidFill>
          </a:ln>
          <a:effectLst/>
        </c:spPr>
      </c:pivotFmt>
      <c:pivotFmt>
        <c:idx val="5"/>
        <c:spPr>
          <a:solidFill>
            <a:schemeClr val="accent4">
              <a:lumMod val="20000"/>
              <a:lumOff val="8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50000"/>
            </a:schemeClr>
          </a:solidFill>
          <a:ln w="19050">
            <a:solidFill>
              <a:schemeClr val="lt1"/>
            </a:solidFill>
          </a:ln>
          <a:effectLst/>
        </c:spPr>
      </c:pivotFmt>
      <c:pivotFmt>
        <c:idx val="8"/>
        <c:spPr>
          <a:solidFill>
            <a:schemeClr val="accent4">
              <a:lumMod val="20000"/>
              <a:lumOff val="80000"/>
            </a:schemeClr>
          </a:solidFill>
          <a:ln w="19050">
            <a:solidFill>
              <a:schemeClr val="lt1"/>
            </a:solidFill>
          </a:ln>
          <a:effectLst/>
        </c:spPr>
      </c:pivotFmt>
    </c:pivotFmts>
    <c:plotArea>
      <c:layout/>
      <c:doughnutChart>
        <c:varyColors val="1"/>
        <c:ser>
          <c:idx val="0"/>
          <c:order val="0"/>
          <c:tx>
            <c:strRef>
              <c:f>PivotTable5!$B$3</c:f>
              <c:strCache>
                <c:ptCount val="1"/>
                <c:pt idx="0">
                  <c:v>Total</c:v>
                </c:pt>
              </c:strCache>
            </c:strRef>
          </c:tx>
          <c:dPt>
            <c:idx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1-F7DC-4DAF-AD5B-E54CAAEDB19E}"/>
              </c:ext>
            </c:extLst>
          </c:dPt>
          <c:dPt>
            <c:idx val="1"/>
            <c:bubble3D val="0"/>
            <c:spPr>
              <a:solidFill>
                <a:schemeClr val="accent4">
                  <a:lumMod val="20000"/>
                  <a:lumOff val="80000"/>
                </a:schemeClr>
              </a:solidFill>
              <a:ln w="19050">
                <a:solidFill>
                  <a:schemeClr val="lt1"/>
                </a:solidFill>
              </a:ln>
              <a:effectLst/>
            </c:spPr>
            <c:extLst>
              <c:ext xmlns:c16="http://schemas.microsoft.com/office/drawing/2014/chart" uri="{C3380CC4-5D6E-409C-BE32-E72D297353CC}">
                <c16:uniqueId val="{00000003-F7DC-4DAF-AD5B-E54CAAEDB1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PivotTable5!$A$4:$A$6</c:f>
              <c:strCache>
                <c:ptCount val="2"/>
                <c:pt idx="0">
                  <c:v>Female</c:v>
                </c:pt>
                <c:pt idx="1">
                  <c:v>Male</c:v>
                </c:pt>
              </c:strCache>
            </c:strRef>
          </c:cat>
          <c:val>
            <c:numRef>
              <c:f>PivotTable5!$B$4:$B$6</c:f>
              <c:numCache>
                <c:formatCode>General</c:formatCode>
                <c:ptCount val="2"/>
                <c:pt idx="0">
                  <c:v>595</c:v>
                </c:pt>
                <c:pt idx="1">
                  <c:v>605</c:v>
                </c:pt>
              </c:numCache>
            </c:numRef>
          </c:val>
          <c:extLst>
            <c:ext xmlns:c16="http://schemas.microsoft.com/office/drawing/2014/chart" uri="{C3380CC4-5D6E-409C-BE32-E72D297353CC}">
              <c16:uniqueId val="{00000004-F7DC-4DAF-AD5B-E54CAAEDB19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438150</xdr:colOff>
      <xdr:row>2</xdr:row>
      <xdr:rowOff>6351</xdr:rowOff>
    </xdr:from>
    <xdr:to>
      <xdr:col>7</xdr:col>
      <xdr:colOff>438150</xdr:colOff>
      <xdr:row>13</xdr:row>
      <xdr:rowOff>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1969FE44-6F48-4F48-AEBF-626DD78DE2E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29050" y="374651"/>
              <a:ext cx="1828800" cy="2019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xdr:row>
      <xdr:rowOff>177801</xdr:rowOff>
    </xdr:from>
    <xdr:to>
      <xdr:col>11</xdr:col>
      <xdr:colOff>19050</xdr:colOff>
      <xdr:row>13</xdr:row>
      <xdr:rowOff>0</xdr:rowOff>
    </xdr:to>
    <mc:AlternateContent xmlns:mc="http://schemas.openxmlformats.org/markup-compatibility/2006">
      <mc:Choice xmlns:a14="http://schemas.microsoft.com/office/drawing/2010/main" Requires="a14">
        <xdr:graphicFrame macro="">
          <xdr:nvGraphicFramePr>
            <xdr:cNvPr id="3" name="Gender">
              <a:extLst>
                <a:ext uri="{FF2B5EF4-FFF2-40B4-BE49-F238E27FC236}">
                  <a16:creationId xmlns:a16="http://schemas.microsoft.com/office/drawing/2014/main" id="{253478FB-A5F6-450D-9A61-32B92E9417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48350" y="361951"/>
              <a:ext cx="1828800" cy="2031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177800</xdr:colOff>
      <xdr:row>1</xdr:row>
      <xdr:rowOff>177801</xdr:rowOff>
    </xdr:from>
    <xdr:to>
      <xdr:col>14</xdr:col>
      <xdr:colOff>177800</xdr:colOff>
      <xdr:row>13</xdr:row>
      <xdr:rowOff>12700</xdr:rowOff>
    </xdr:to>
    <mc:AlternateContent xmlns:mc="http://schemas.openxmlformats.org/markup-compatibility/2006">
      <mc:Choice xmlns:a14="http://schemas.microsoft.com/office/drawing/2010/main" Requires="a14">
        <xdr:graphicFrame macro="">
          <xdr:nvGraphicFramePr>
            <xdr:cNvPr id="4" name="OverTime">
              <a:extLst>
                <a:ext uri="{FF2B5EF4-FFF2-40B4-BE49-F238E27FC236}">
                  <a16:creationId xmlns:a16="http://schemas.microsoft.com/office/drawing/2014/main" id="{D58DF364-0266-4785-B550-4B4001750E8E}"/>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7835900" y="361951"/>
              <a:ext cx="1828800" cy="204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219585</xdr:colOff>
      <xdr:row>5</xdr:row>
      <xdr:rowOff>446817</xdr:rowOff>
    </xdr:from>
    <xdr:to>
      <xdr:col>4</xdr:col>
      <xdr:colOff>23379</xdr:colOff>
      <xdr:row>11</xdr:row>
      <xdr:rowOff>88620</xdr:rowOff>
    </xdr:to>
    <xdr:sp macro="" textlink="PivotTable7!B16">
      <xdr:nvSpPr>
        <xdr:cNvPr id="2" name="Rectangle: Rounded Corners 1">
          <a:extLst>
            <a:ext uri="{FF2B5EF4-FFF2-40B4-BE49-F238E27FC236}">
              <a16:creationId xmlns:a16="http://schemas.microsoft.com/office/drawing/2014/main" id="{85D53F95-2499-4A2A-8A1C-0299360E63DD}"/>
            </a:ext>
          </a:extLst>
        </xdr:cNvPr>
        <xdr:cNvSpPr/>
      </xdr:nvSpPr>
      <xdr:spPr>
        <a:xfrm>
          <a:off x="219585" y="1380641"/>
          <a:ext cx="2736000" cy="103320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3A23A5C2-176B-4134-86E4-C4F0444E3364}" type="TxLink">
            <a:rPr lang="en-US" sz="2800" b="1" i="0" u="none" strike="noStrike">
              <a:solidFill>
                <a:schemeClr val="bg1"/>
              </a:solidFill>
              <a:latin typeface="Calibri"/>
              <a:ea typeface="Calibri"/>
              <a:cs typeface="Calibri"/>
            </a:rPr>
            <a:t>1200</a:t>
          </a:fld>
          <a:r>
            <a:rPr lang="en-US" sz="2800" b="1" i="0" u="none" strike="noStrike">
              <a:solidFill>
                <a:schemeClr val="bg1"/>
              </a:solidFill>
              <a:latin typeface="Calibri"/>
              <a:ea typeface="Calibri"/>
              <a:cs typeface="Calibri"/>
            </a:rPr>
            <a:t> </a:t>
          </a:r>
        </a:p>
        <a:p>
          <a:pPr algn="ctr"/>
          <a:r>
            <a:rPr lang="en-US" sz="1100" b="1" i="0" u="none" strike="noStrike">
              <a:solidFill>
                <a:schemeClr val="bg1"/>
              </a:solidFill>
              <a:latin typeface="+mn-lt"/>
              <a:ea typeface="Calibri"/>
              <a:cs typeface="Calibri"/>
            </a:rPr>
            <a:t>Total Headcount</a:t>
          </a:r>
        </a:p>
        <a:p>
          <a:pPr algn="ctr"/>
          <a:endParaRPr lang="en-IN" sz="2800" b="1">
            <a:solidFill>
              <a:schemeClr val="bg1"/>
            </a:solidFill>
          </a:endParaRPr>
        </a:p>
      </xdr:txBody>
    </xdr:sp>
    <xdr:clientData/>
  </xdr:twoCellAnchor>
  <xdr:twoCellAnchor>
    <xdr:from>
      <xdr:col>0</xdr:col>
      <xdr:colOff>238694</xdr:colOff>
      <xdr:row>0</xdr:row>
      <xdr:rowOff>121329</xdr:rowOff>
    </xdr:from>
    <xdr:to>
      <xdr:col>19</xdr:col>
      <xdr:colOff>429559</xdr:colOff>
      <xdr:row>5</xdr:row>
      <xdr:rowOff>322307</xdr:rowOff>
    </xdr:to>
    <xdr:sp macro="" textlink="">
      <xdr:nvSpPr>
        <xdr:cNvPr id="10" name="Rectangle: Rounded Corners 9">
          <a:extLst>
            <a:ext uri="{FF2B5EF4-FFF2-40B4-BE49-F238E27FC236}">
              <a16:creationId xmlns:a16="http://schemas.microsoft.com/office/drawing/2014/main" id="{4D3292C9-8C54-49F2-9269-55BFB74C07E7}"/>
            </a:ext>
          </a:extLst>
        </xdr:cNvPr>
        <xdr:cNvSpPr/>
      </xdr:nvSpPr>
      <xdr:spPr>
        <a:xfrm>
          <a:off x="238694" y="121329"/>
          <a:ext cx="14048806" cy="1134802"/>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800" b="1"/>
            <a:t>HR Employee Attrition Dashboard</a:t>
          </a:r>
        </a:p>
      </xdr:txBody>
    </xdr:sp>
    <xdr:clientData/>
  </xdr:twoCellAnchor>
  <xdr:twoCellAnchor>
    <xdr:from>
      <xdr:col>6</xdr:col>
      <xdr:colOff>141336</xdr:colOff>
      <xdr:row>12</xdr:row>
      <xdr:rowOff>177427</xdr:rowOff>
    </xdr:from>
    <xdr:to>
      <xdr:col>11</xdr:col>
      <xdr:colOff>392206</xdr:colOff>
      <xdr:row>28</xdr:row>
      <xdr:rowOff>59705</xdr:rowOff>
    </xdr:to>
    <xdr:graphicFrame macro="">
      <xdr:nvGraphicFramePr>
        <xdr:cNvPr id="12" name="Chart 11">
          <a:extLst>
            <a:ext uri="{FF2B5EF4-FFF2-40B4-BE49-F238E27FC236}">
              <a16:creationId xmlns:a16="http://schemas.microsoft.com/office/drawing/2014/main" id="{2101216B-D83A-46AA-B7DB-602BB54D4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289486</xdr:colOff>
      <xdr:row>12</xdr:row>
      <xdr:rowOff>177428</xdr:rowOff>
    </xdr:from>
    <xdr:to>
      <xdr:col>5</xdr:col>
      <xdr:colOff>560295</xdr:colOff>
      <xdr:row>28</xdr:row>
      <xdr:rowOff>91108</xdr:rowOff>
    </xdr:to>
    <xdr:graphicFrame macro="">
      <xdr:nvGraphicFramePr>
        <xdr:cNvPr id="13" name="Chart 12">
          <a:extLst>
            <a:ext uri="{FF2B5EF4-FFF2-40B4-BE49-F238E27FC236}">
              <a16:creationId xmlns:a16="http://schemas.microsoft.com/office/drawing/2014/main" id="{CB4972D8-FA58-4CFC-9032-657F8E88F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257155</xdr:colOff>
      <xdr:row>30</xdr:row>
      <xdr:rowOff>0</xdr:rowOff>
    </xdr:from>
    <xdr:to>
      <xdr:col>6</xdr:col>
      <xdr:colOff>448236</xdr:colOff>
      <xdr:row>44</xdr:row>
      <xdr:rowOff>151085</xdr:rowOff>
    </xdr:to>
    <xdr:graphicFrame macro="">
      <xdr:nvGraphicFramePr>
        <xdr:cNvPr id="14" name="Chart 13">
          <a:extLst>
            <a:ext uri="{FF2B5EF4-FFF2-40B4-BE49-F238E27FC236}">
              <a16:creationId xmlns:a16="http://schemas.microsoft.com/office/drawing/2014/main" id="{1259001F-1D9F-40E2-B199-554A885D8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672354</xdr:colOff>
      <xdr:row>29</xdr:row>
      <xdr:rowOff>177427</xdr:rowOff>
    </xdr:from>
    <xdr:to>
      <xdr:col>13</xdr:col>
      <xdr:colOff>65368</xdr:colOff>
      <xdr:row>44</xdr:row>
      <xdr:rowOff>177426</xdr:rowOff>
    </xdr:to>
    <xdr:graphicFrame macro="">
      <xdr:nvGraphicFramePr>
        <xdr:cNvPr id="15" name="Chart 14">
          <a:extLst>
            <a:ext uri="{FF2B5EF4-FFF2-40B4-BE49-F238E27FC236}">
              <a16:creationId xmlns:a16="http://schemas.microsoft.com/office/drawing/2014/main" id="{08AC5EF5-B706-40EA-B012-E58BE8E49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242793</xdr:colOff>
      <xdr:row>29</xdr:row>
      <xdr:rowOff>168087</xdr:rowOff>
    </xdr:from>
    <xdr:to>
      <xdr:col>19</xdr:col>
      <xdr:colOff>364191</xdr:colOff>
      <xdr:row>44</xdr:row>
      <xdr:rowOff>186763</xdr:rowOff>
    </xdr:to>
    <xdr:graphicFrame macro="">
      <xdr:nvGraphicFramePr>
        <xdr:cNvPr id="16" name="Chart 15">
          <a:extLst>
            <a:ext uri="{FF2B5EF4-FFF2-40B4-BE49-F238E27FC236}">
              <a16:creationId xmlns:a16="http://schemas.microsoft.com/office/drawing/2014/main" id="{FB5E0BA3-EEEF-4527-8918-FA639C877B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499464</xdr:colOff>
      <xdr:row>6</xdr:row>
      <xdr:rowOff>4193</xdr:rowOff>
    </xdr:from>
    <xdr:to>
      <xdr:col>19</xdr:col>
      <xdr:colOff>364190</xdr:colOff>
      <xdr:row>16</xdr:row>
      <xdr:rowOff>158750</xdr:rowOff>
    </xdr:to>
    <mc:AlternateContent xmlns:mc="http://schemas.openxmlformats.org/markup-compatibility/2006">
      <mc:Choice xmlns:a14="http://schemas.microsoft.com/office/drawing/2010/main" Requires="a14">
        <xdr:graphicFrame macro="">
          <xdr:nvGraphicFramePr>
            <xdr:cNvPr id="17" name="Department 1">
              <a:extLst>
                <a:ext uri="{FF2B5EF4-FFF2-40B4-BE49-F238E27FC236}">
                  <a16:creationId xmlns:a16="http://schemas.microsoft.com/office/drawing/2014/main" id="{7859718F-3A33-411C-8A35-ED7650CD8F04}"/>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909926" y="1391424"/>
              <a:ext cx="2287495" cy="20107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12804</xdr:colOff>
      <xdr:row>14</xdr:row>
      <xdr:rowOff>71864</xdr:rowOff>
    </xdr:from>
    <xdr:to>
      <xdr:col>15</xdr:col>
      <xdr:colOff>289485</xdr:colOff>
      <xdr:row>19</xdr:row>
      <xdr:rowOff>73174</xdr:rowOff>
    </xdr:to>
    <mc:AlternateContent xmlns:mc="http://schemas.openxmlformats.org/markup-compatibility/2006">
      <mc:Choice xmlns:a14="http://schemas.microsoft.com/office/drawing/2010/main" Requires="a14">
        <xdr:graphicFrame macro="">
          <xdr:nvGraphicFramePr>
            <xdr:cNvPr id="18" name="Gender 1">
              <a:extLst>
                <a:ext uri="{FF2B5EF4-FFF2-40B4-BE49-F238E27FC236}">
                  <a16:creationId xmlns:a16="http://schemas.microsoft.com/office/drawing/2014/main" id="{4F7F3454-47A1-4D37-894D-67DC292CC74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391266" y="2944018"/>
              <a:ext cx="2308681" cy="929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491247</xdr:colOff>
      <xdr:row>18</xdr:row>
      <xdr:rowOff>63837</xdr:rowOff>
    </xdr:from>
    <xdr:to>
      <xdr:col>19</xdr:col>
      <xdr:colOff>354853</xdr:colOff>
      <xdr:row>27</xdr:row>
      <xdr:rowOff>125683</xdr:rowOff>
    </xdr:to>
    <mc:AlternateContent xmlns:mc="http://schemas.openxmlformats.org/markup-compatibility/2006">
      <mc:Choice xmlns:a14="http://schemas.microsoft.com/office/drawing/2010/main" Requires="a14">
        <xdr:graphicFrame macro="">
          <xdr:nvGraphicFramePr>
            <xdr:cNvPr id="19" name="JobSatisfaction">
              <a:extLst>
                <a:ext uri="{FF2B5EF4-FFF2-40B4-BE49-F238E27FC236}">
                  <a16:creationId xmlns:a16="http://schemas.microsoft.com/office/drawing/2014/main" id="{6B2D6B70-47C1-41D5-A609-D8DE9E1A8844}"/>
                </a:ext>
              </a:extLst>
            </xdr:cNvPr>
            <xdr:cNvGraphicFramePr/>
          </xdr:nvGraphicFramePr>
          <xdr:xfrm>
            <a:off x="0" y="0"/>
            <a:ext cx="0" cy="0"/>
          </xdr:xfrm>
          <a:graphic>
            <a:graphicData uri="http://schemas.microsoft.com/office/drawing/2010/slicer">
              <sle:slicer xmlns:sle="http://schemas.microsoft.com/office/drawing/2010/slicer" name="JobSatisfaction"/>
            </a:graphicData>
          </a:graphic>
        </xdr:graphicFrame>
      </mc:Choice>
      <mc:Fallback>
        <xdr:sp macro="" textlink="">
          <xdr:nvSpPr>
            <xdr:cNvPr id="0" name=""/>
            <xdr:cNvSpPr>
              <a:spLocks noTextEdit="1"/>
            </xdr:cNvSpPr>
          </xdr:nvSpPr>
          <xdr:spPr>
            <a:xfrm>
              <a:off x="11901709" y="3678452"/>
              <a:ext cx="2286375" cy="1732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9832</xdr:colOff>
      <xdr:row>22</xdr:row>
      <xdr:rowOff>33670</xdr:rowOff>
    </xdr:from>
    <xdr:to>
      <xdr:col>15</xdr:col>
      <xdr:colOff>289484</xdr:colOff>
      <xdr:row>27</xdr:row>
      <xdr:rowOff>33214</xdr:rowOff>
    </xdr:to>
    <mc:AlternateContent xmlns:mc="http://schemas.openxmlformats.org/markup-compatibility/2006">
      <mc:Choice xmlns:a14="http://schemas.microsoft.com/office/drawing/2010/main" Requires="a14">
        <xdr:graphicFrame macro="">
          <xdr:nvGraphicFramePr>
            <xdr:cNvPr id="20" name="OverTime 1">
              <a:extLst>
                <a:ext uri="{FF2B5EF4-FFF2-40B4-BE49-F238E27FC236}">
                  <a16:creationId xmlns:a16="http://schemas.microsoft.com/office/drawing/2014/main" id="{F93BB908-5CB7-448B-A55A-ED2332FC62FA}"/>
                </a:ext>
              </a:extLst>
            </xdr:cNvPr>
            <xdr:cNvGraphicFramePr/>
          </xdr:nvGraphicFramePr>
          <xdr:xfrm>
            <a:off x="0" y="0"/>
            <a:ext cx="0" cy="0"/>
          </xdr:xfrm>
          <a:graphic>
            <a:graphicData uri="http://schemas.microsoft.com/office/drawing/2010/slicer">
              <sle:slicer xmlns:sle="http://schemas.microsoft.com/office/drawing/2010/slicer" name="OverTime 1"/>
            </a:graphicData>
          </a:graphic>
        </xdr:graphicFrame>
      </mc:Choice>
      <mc:Fallback>
        <xdr:sp macro="" textlink="">
          <xdr:nvSpPr>
            <xdr:cNvPr id="0" name=""/>
            <xdr:cNvSpPr>
              <a:spLocks noTextEdit="1"/>
            </xdr:cNvSpPr>
          </xdr:nvSpPr>
          <xdr:spPr>
            <a:xfrm>
              <a:off x="9388294" y="4390747"/>
              <a:ext cx="2311652" cy="9276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222257</xdr:colOff>
      <xdr:row>5</xdr:row>
      <xdr:rowOff>445242</xdr:rowOff>
    </xdr:from>
    <xdr:to>
      <xdr:col>6</xdr:col>
      <xdr:colOff>1268037</xdr:colOff>
      <xdr:row>11</xdr:row>
      <xdr:rowOff>87045</xdr:rowOff>
    </xdr:to>
    <xdr:sp macro="" textlink="PivotTable7!C16">
      <xdr:nvSpPr>
        <xdr:cNvPr id="22" name="Rectangle: Rounded Corners 21">
          <a:extLst>
            <a:ext uri="{FF2B5EF4-FFF2-40B4-BE49-F238E27FC236}">
              <a16:creationId xmlns:a16="http://schemas.microsoft.com/office/drawing/2014/main" id="{AD022D46-6CBE-46C0-8421-E1944F88741C}"/>
            </a:ext>
          </a:extLst>
        </xdr:cNvPr>
        <xdr:cNvSpPr/>
      </xdr:nvSpPr>
      <xdr:spPr>
        <a:xfrm>
          <a:off x="3154463" y="1379066"/>
          <a:ext cx="2736000" cy="103320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509636EF-123F-4629-81A6-584DD0080996}" type="TxLink">
            <a:rPr lang="en-US" sz="2800" b="1" i="0" u="none" strike="noStrike">
              <a:solidFill>
                <a:schemeClr val="bg1"/>
              </a:solidFill>
              <a:latin typeface="Calibri"/>
              <a:ea typeface="Calibri"/>
              <a:cs typeface="Calibri"/>
            </a:rPr>
            <a:t>5.6</a:t>
          </a:fld>
          <a:endParaRPr lang="en-US" sz="2800" b="1" i="0" u="none" strike="noStrike">
            <a:solidFill>
              <a:schemeClr val="bg1"/>
            </a:solidFill>
            <a:latin typeface="Calibri"/>
            <a:ea typeface="Calibri"/>
            <a:cs typeface="Calibri"/>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100" b="1" i="0">
              <a:solidFill>
                <a:schemeClr val="lt1"/>
              </a:solidFill>
              <a:effectLst/>
              <a:latin typeface="+mn-lt"/>
              <a:ea typeface="+mn-ea"/>
              <a:cs typeface="+mn-cs"/>
            </a:rPr>
            <a:t>Avg Tenure</a:t>
          </a:r>
          <a:r>
            <a:rPr lang="en-IN" sz="1100" b="1">
              <a:solidFill>
                <a:schemeClr val="lt1"/>
              </a:solidFill>
              <a:effectLst/>
              <a:latin typeface="+mn-lt"/>
              <a:ea typeface="+mn-ea"/>
              <a:cs typeface="+mn-cs"/>
            </a:rPr>
            <a:t> </a:t>
          </a:r>
          <a:endParaRPr lang="en-IN" sz="2800">
            <a:effectLst/>
          </a:endParaRPr>
        </a:p>
        <a:p>
          <a:pPr algn="ctr"/>
          <a:endParaRPr lang="en-IN" sz="2800" b="1">
            <a:solidFill>
              <a:schemeClr val="bg1"/>
            </a:solidFill>
          </a:endParaRPr>
        </a:p>
      </xdr:txBody>
    </xdr:sp>
    <xdr:clientData/>
  </xdr:twoCellAnchor>
  <xdr:twoCellAnchor>
    <xdr:from>
      <xdr:col>7</xdr:col>
      <xdr:colOff>106702</xdr:colOff>
      <xdr:row>5</xdr:row>
      <xdr:rowOff>455428</xdr:rowOff>
    </xdr:from>
    <xdr:to>
      <xdr:col>11</xdr:col>
      <xdr:colOff>41232</xdr:colOff>
      <xdr:row>11</xdr:row>
      <xdr:rowOff>97231</xdr:rowOff>
    </xdr:to>
    <xdr:sp macro="" textlink="PivotTable7!B15">
      <xdr:nvSpPr>
        <xdr:cNvPr id="25" name="Rectangle: Rounded Corners 24">
          <a:extLst>
            <a:ext uri="{FF2B5EF4-FFF2-40B4-BE49-F238E27FC236}">
              <a16:creationId xmlns:a16="http://schemas.microsoft.com/office/drawing/2014/main" id="{6AEA3D20-7553-4E11-ACCF-022AE439C4DF}"/>
            </a:ext>
          </a:extLst>
        </xdr:cNvPr>
        <xdr:cNvSpPr/>
      </xdr:nvSpPr>
      <xdr:spPr>
        <a:xfrm>
          <a:off x="6092511" y="1389252"/>
          <a:ext cx="2736000" cy="103320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A3B49B0-4B9E-4A8D-B211-00626A94A310}" type="TxLink">
            <a:rPr lang="en-US" sz="2800" b="1" i="0" u="none" strike="noStrike">
              <a:solidFill>
                <a:schemeClr val="bg1"/>
              </a:solidFill>
              <a:latin typeface="Calibri"/>
              <a:ea typeface="Calibri"/>
              <a:cs typeface="Calibri"/>
            </a:rPr>
            <a:t>321</a:t>
          </a:fld>
          <a:endParaRPr lang="en-US" sz="2800" b="1" i="0" u="none" strike="noStrike">
            <a:solidFill>
              <a:schemeClr val="bg1"/>
            </a:solidFill>
            <a:latin typeface="Calibri"/>
            <a:ea typeface="Calibri"/>
            <a:cs typeface="Calibri"/>
          </a:endParaRPr>
        </a:p>
        <a:p>
          <a:pPr algn="ctr"/>
          <a:r>
            <a:rPr lang="en-IN" sz="1100" b="1">
              <a:solidFill>
                <a:schemeClr val="bg1"/>
              </a:solidFill>
            </a:rPr>
            <a:t>Employees Exited</a:t>
          </a:r>
        </a:p>
      </xdr:txBody>
    </xdr:sp>
    <xdr:clientData/>
  </xdr:twoCellAnchor>
  <xdr:twoCellAnchor>
    <xdr:from>
      <xdr:col>11</xdr:col>
      <xdr:colOff>224882</xdr:colOff>
      <xdr:row>6</xdr:row>
      <xdr:rowOff>20820</xdr:rowOff>
    </xdr:from>
    <xdr:to>
      <xdr:col>15</xdr:col>
      <xdr:colOff>317499</xdr:colOff>
      <xdr:row>11</xdr:row>
      <xdr:rowOff>121396</xdr:rowOff>
    </xdr:to>
    <xdr:sp macro="" textlink="R17">
      <xdr:nvSpPr>
        <xdr:cNvPr id="26" name="Rectangle: Rounded Corners 25">
          <a:extLst>
            <a:ext uri="{FF2B5EF4-FFF2-40B4-BE49-F238E27FC236}">
              <a16:creationId xmlns:a16="http://schemas.microsoft.com/office/drawing/2014/main" id="{155A606D-53B8-4E60-BA12-6E5592BE49D9}"/>
            </a:ext>
          </a:extLst>
        </xdr:cNvPr>
        <xdr:cNvSpPr/>
      </xdr:nvSpPr>
      <xdr:spPr>
        <a:xfrm>
          <a:off x="9012161" y="1412217"/>
          <a:ext cx="2735338" cy="1034400"/>
        </a:xfrm>
        <a:prstGeom prst="roundRect">
          <a:avLst/>
        </a:prstGeom>
        <a:solidFill>
          <a:schemeClr val="accent4">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336704B-5FF7-45A6-9AC8-321C68976F3D}" type="TxLink">
            <a:rPr lang="en-US" sz="2800" b="1" i="0" u="none" strike="noStrike">
              <a:solidFill>
                <a:schemeClr val="bg1"/>
              </a:solidFill>
              <a:latin typeface="Arial"/>
              <a:cs typeface="Arial"/>
            </a:rPr>
            <a:t>26.8%</a:t>
          </a:fld>
          <a:endParaRPr lang="en-US" sz="2800" b="1" i="0" u="none" strike="noStrike">
            <a:solidFill>
              <a:schemeClr val="bg1"/>
            </a:solidFill>
            <a:latin typeface="Arial"/>
            <a:cs typeface="Arial"/>
          </a:endParaRPr>
        </a:p>
        <a:p>
          <a:pPr algn="ctr"/>
          <a:r>
            <a:rPr lang="en-US" sz="1100" b="1" i="0" u="none" strike="noStrike">
              <a:solidFill>
                <a:schemeClr val="bg1"/>
              </a:solidFill>
              <a:latin typeface="Arial"/>
              <a:cs typeface="Arial"/>
            </a:rPr>
            <a:t>Attrition Rate</a:t>
          </a:r>
        </a:p>
        <a:p>
          <a:pPr algn="ctr"/>
          <a:endParaRPr lang="en-US" sz="11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dhya Marke" refreshedDate="46241.897798726852" createdVersion="7" refreshedVersion="7" minRefreshableVersion="3" recordCount="1200" xr:uid="{52975BBE-0997-42A2-BFC2-614D197DA9E1}">
  <cacheSource type="worksheet">
    <worksheetSource name="Table1"/>
  </cacheSource>
  <cacheFields count="17">
    <cacheField name="EmployeeID" numFmtId="0">
      <sharedItems count="1200">
        <s v="E1001"/>
        <s v="E1002"/>
        <s v="E1003"/>
        <s v="E1004"/>
        <s v="E1005"/>
        <s v="E1006"/>
        <s v="E1007"/>
        <s v="E1008"/>
        <s v="E1009"/>
        <s v="E1010"/>
        <s v="E1011"/>
        <s v="E1012"/>
        <s v="E1013"/>
        <s v="E1014"/>
        <s v="E1015"/>
        <s v="E1016"/>
        <s v="E1017"/>
        <s v="E1018"/>
        <s v="E1019"/>
        <s v="E1020"/>
        <s v="E1021"/>
        <s v="E1022"/>
        <s v="E1023"/>
        <s v="E1024"/>
        <s v="E1025"/>
        <s v="E1026"/>
        <s v="E1027"/>
        <s v="E1028"/>
        <s v="E1029"/>
        <s v="E1030"/>
        <s v="E1031"/>
        <s v="E1032"/>
        <s v="E1033"/>
        <s v="E1034"/>
        <s v="E1035"/>
        <s v="E1036"/>
        <s v="E1037"/>
        <s v="E1038"/>
        <s v="E1039"/>
        <s v="E1040"/>
        <s v="E1041"/>
        <s v="E1042"/>
        <s v="E1043"/>
        <s v="E1044"/>
        <s v="E1045"/>
        <s v="E1046"/>
        <s v="E1047"/>
        <s v="E1048"/>
        <s v="E1049"/>
        <s v="E1050"/>
        <s v="E1051"/>
        <s v="E1052"/>
        <s v="E1053"/>
        <s v="E1054"/>
        <s v="E1055"/>
        <s v="E1056"/>
        <s v="E1057"/>
        <s v="E1058"/>
        <s v="E1059"/>
        <s v="E1060"/>
        <s v="E1061"/>
        <s v="E1062"/>
        <s v="E1063"/>
        <s v="E1064"/>
        <s v="E1065"/>
        <s v="E1066"/>
        <s v="E1067"/>
        <s v="E1068"/>
        <s v="E1069"/>
        <s v="E1070"/>
        <s v="E1071"/>
        <s v="E1072"/>
        <s v="E1073"/>
        <s v="E1074"/>
        <s v="E1075"/>
        <s v="E1076"/>
        <s v="E1077"/>
        <s v="E1078"/>
        <s v="E1079"/>
        <s v="E1080"/>
        <s v="E1081"/>
        <s v="E1082"/>
        <s v="E1083"/>
        <s v="E1084"/>
        <s v="E1085"/>
        <s v="E1086"/>
        <s v="E1087"/>
        <s v="E1088"/>
        <s v="E1089"/>
        <s v="E1090"/>
        <s v="E1091"/>
        <s v="E1092"/>
        <s v="E1093"/>
        <s v="E1094"/>
        <s v="E1095"/>
        <s v="E1096"/>
        <s v="E1097"/>
        <s v="E1098"/>
        <s v="E1099"/>
        <s v="E1100"/>
        <s v="E1101"/>
        <s v="E1102"/>
        <s v="E1103"/>
        <s v="E1104"/>
        <s v="E1105"/>
        <s v="E1106"/>
        <s v="E1107"/>
        <s v="E1108"/>
        <s v="E1109"/>
        <s v="E1110"/>
        <s v="E1111"/>
        <s v="E1112"/>
        <s v="E1113"/>
        <s v="E1114"/>
        <s v="E1115"/>
        <s v="E1116"/>
        <s v="E1117"/>
        <s v="E1118"/>
        <s v="E1119"/>
        <s v="E1120"/>
        <s v="E1121"/>
        <s v="E1122"/>
        <s v="E1123"/>
        <s v="E1124"/>
        <s v="E1125"/>
        <s v="E1126"/>
        <s v="E1127"/>
        <s v="E1128"/>
        <s v="E1129"/>
        <s v="E1130"/>
        <s v="E1131"/>
        <s v="E1132"/>
        <s v="E1133"/>
        <s v="E1134"/>
        <s v="E1135"/>
        <s v="E1136"/>
        <s v="E1137"/>
        <s v="E1138"/>
        <s v="E1139"/>
        <s v="E1140"/>
        <s v="E1141"/>
        <s v="E1142"/>
        <s v="E1143"/>
        <s v="E1144"/>
        <s v="E1145"/>
        <s v="E1146"/>
        <s v="E1147"/>
        <s v="E1148"/>
        <s v="E1149"/>
        <s v="E1150"/>
        <s v="E1151"/>
        <s v="E1152"/>
        <s v="E1153"/>
        <s v="E1154"/>
        <s v="E1155"/>
        <s v="E1156"/>
        <s v="E1157"/>
        <s v="E1158"/>
        <s v="E1159"/>
        <s v="E1160"/>
        <s v="E1161"/>
        <s v="E1162"/>
        <s v="E1163"/>
        <s v="E1164"/>
        <s v="E1165"/>
        <s v="E1166"/>
        <s v="E1167"/>
        <s v="E1168"/>
        <s v="E1169"/>
        <s v="E1170"/>
        <s v="E1171"/>
        <s v="E1172"/>
        <s v="E1173"/>
        <s v="E1174"/>
        <s v="E1175"/>
        <s v="E1176"/>
        <s v="E1177"/>
        <s v="E1178"/>
        <s v="E1179"/>
        <s v="E1180"/>
        <s v="E1181"/>
        <s v="E1182"/>
        <s v="E1183"/>
        <s v="E1184"/>
        <s v="E1185"/>
        <s v="E1186"/>
        <s v="E1187"/>
        <s v="E1188"/>
        <s v="E1189"/>
        <s v="E1190"/>
        <s v="E1191"/>
        <s v="E1192"/>
        <s v="E1193"/>
        <s v="E1194"/>
        <s v="E1195"/>
        <s v="E1196"/>
        <s v="E1197"/>
        <s v="E1198"/>
        <s v="E1199"/>
        <s v="E1200"/>
        <s v="E1201"/>
        <s v="E1202"/>
        <s v="E1203"/>
        <s v="E1204"/>
        <s v="E1205"/>
        <s v="E1206"/>
        <s v="E1207"/>
        <s v="E1208"/>
        <s v="E1209"/>
        <s v="E1210"/>
        <s v="E1211"/>
        <s v="E1212"/>
        <s v="E1213"/>
        <s v="E1214"/>
        <s v="E1215"/>
        <s v="E1216"/>
        <s v="E1217"/>
        <s v="E1218"/>
        <s v="E1219"/>
        <s v="E1220"/>
        <s v="E1221"/>
        <s v="E1222"/>
        <s v="E1223"/>
        <s v="E1224"/>
        <s v="E1225"/>
        <s v="E1226"/>
        <s v="E1227"/>
        <s v="E1228"/>
        <s v="E1229"/>
        <s v="E1230"/>
        <s v="E1231"/>
        <s v="E1232"/>
        <s v="E1233"/>
        <s v="E1234"/>
        <s v="E1235"/>
        <s v="E1236"/>
        <s v="E1237"/>
        <s v="E1238"/>
        <s v="E1239"/>
        <s v="E1240"/>
        <s v="E1241"/>
        <s v="E1242"/>
        <s v="E1243"/>
        <s v="E1244"/>
        <s v="E1245"/>
        <s v="E1246"/>
        <s v="E1247"/>
        <s v="E1248"/>
        <s v="E1249"/>
        <s v="E1250"/>
        <s v="E1251"/>
        <s v="E1252"/>
        <s v="E1253"/>
        <s v="E1254"/>
        <s v="E1255"/>
        <s v="E1256"/>
        <s v="E1257"/>
        <s v="E1258"/>
        <s v="E1259"/>
        <s v="E1260"/>
        <s v="E1261"/>
        <s v="E1262"/>
        <s v="E1263"/>
        <s v="E1264"/>
        <s v="E1265"/>
        <s v="E1266"/>
        <s v="E1267"/>
        <s v="E1268"/>
        <s v="E1269"/>
        <s v="E1270"/>
        <s v="E1271"/>
        <s v="E1272"/>
        <s v="E1273"/>
        <s v="E1274"/>
        <s v="E1275"/>
        <s v="E1276"/>
        <s v="E1277"/>
        <s v="E1278"/>
        <s v="E1279"/>
        <s v="E1280"/>
        <s v="E1281"/>
        <s v="E1282"/>
        <s v="E1283"/>
        <s v="E1284"/>
        <s v="E1285"/>
        <s v="E1286"/>
        <s v="E1287"/>
        <s v="E1288"/>
        <s v="E1289"/>
        <s v="E1290"/>
        <s v="E1291"/>
        <s v="E1292"/>
        <s v="E1293"/>
        <s v="E1294"/>
        <s v="E1295"/>
        <s v="E1296"/>
        <s v="E1297"/>
        <s v="E1298"/>
        <s v="E1299"/>
        <s v="E1300"/>
        <s v="E1301"/>
        <s v="E1302"/>
        <s v="E1303"/>
        <s v="E1304"/>
        <s v="E1305"/>
        <s v="E1306"/>
        <s v="E1307"/>
        <s v="E1308"/>
        <s v="E1309"/>
        <s v="E1310"/>
        <s v="E1311"/>
        <s v="E1312"/>
        <s v="E1313"/>
        <s v="E1314"/>
        <s v="E1315"/>
        <s v="E1316"/>
        <s v="E1317"/>
        <s v="E1318"/>
        <s v="E1319"/>
        <s v="E1320"/>
        <s v="E1321"/>
        <s v="E1322"/>
        <s v="E1323"/>
        <s v="E1324"/>
        <s v="E1325"/>
        <s v="E1326"/>
        <s v="E1327"/>
        <s v="E1328"/>
        <s v="E1329"/>
        <s v="E1330"/>
        <s v="E1331"/>
        <s v="E1332"/>
        <s v="E1333"/>
        <s v="E1334"/>
        <s v="E1335"/>
        <s v="E1336"/>
        <s v="E1337"/>
        <s v="E1338"/>
        <s v="E1339"/>
        <s v="E1340"/>
        <s v="E1341"/>
        <s v="E1342"/>
        <s v="E1343"/>
        <s v="E1344"/>
        <s v="E1345"/>
        <s v="E1346"/>
        <s v="E1347"/>
        <s v="E1348"/>
        <s v="E1349"/>
        <s v="E1350"/>
        <s v="E1351"/>
        <s v="E1352"/>
        <s v="E1353"/>
        <s v="E1354"/>
        <s v="E1355"/>
        <s v="E1356"/>
        <s v="E1357"/>
        <s v="E1358"/>
        <s v="E1359"/>
        <s v="E1360"/>
        <s v="E1361"/>
        <s v="E1362"/>
        <s v="E1363"/>
        <s v="E1364"/>
        <s v="E1365"/>
        <s v="E1366"/>
        <s v="E1367"/>
        <s v="E1368"/>
        <s v="E1369"/>
        <s v="E1370"/>
        <s v="E1371"/>
        <s v="E1372"/>
        <s v="E1373"/>
        <s v="E1374"/>
        <s v="E1375"/>
        <s v="E1376"/>
        <s v="E1377"/>
        <s v="E1378"/>
        <s v="E1379"/>
        <s v="E1380"/>
        <s v="E1381"/>
        <s v="E1382"/>
        <s v="E1383"/>
        <s v="E1384"/>
        <s v="E1385"/>
        <s v="E1386"/>
        <s v="E1387"/>
        <s v="E1388"/>
        <s v="E1389"/>
        <s v="E1390"/>
        <s v="E1391"/>
        <s v="E1392"/>
        <s v="E1393"/>
        <s v="E1394"/>
        <s v="E1395"/>
        <s v="E1396"/>
        <s v="E1397"/>
        <s v="E1398"/>
        <s v="E1399"/>
        <s v="E1400"/>
        <s v="E1401"/>
        <s v="E1402"/>
        <s v="E1403"/>
        <s v="E1404"/>
        <s v="E1405"/>
        <s v="E1406"/>
        <s v="E1407"/>
        <s v="E1408"/>
        <s v="E1409"/>
        <s v="E1410"/>
        <s v="E1411"/>
        <s v="E1412"/>
        <s v="E1413"/>
        <s v="E1414"/>
        <s v="E1415"/>
        <s v="E1416"/>
        <s v="E1417"/>
        <s v="E1418"/>
        <s v="E1419"/>
        <s v="E1420"/>
        <s v="E1421"/>
        <s v="E1422"/>
        <s v="E1423"/>
        <s v="E1424"/>
        <s v="E1425"/>
        <s v="E1426"/>
        <s v="E1427"/>
        <s v="E1428"/>
        <s v="E1429"/>
        <s v="E1430"/>
        <s v="E1431"/>
        <s v="E1432"/>
        <s v="E1433"/>
        <s v="E1434"/>
        <s v="E1435"/>
        <s v="E1436"/>
        <s v="E1437"/>
        <s v="E1438"/>
        <s v="E1439"/>
        <s v="E1440"/>
        <s v="E1441"/>
        <s v="E1442"/>
        <s v="E1443"/>
        <s v="E1444"/>
        <s v="E1445"/>
        <s v="E1446"/>
        <s v="E1447"/>
        <s v="E1448"/>
        <s v="E1449"/>
        <s v="E1450"/>
        <s v="E1451"/>
        <s v="E1452"/>
        <s v="E1453"/>
        <s v="E1454"/>
        <s v="E1455"/>
        <s v="E1456"/>
        <s v="E1457"/>
        <s v="E1458"/>
        <s v="E1459"/>
        <s v="E1460"/>
        <s v="E1461"/>
        <s v="E1462"/>
        <s v="E1463"/>
        <s v="E1464"/>
        <s v="E1465"/>
        <s v="E1466"/>
        <s v="E1467"/>
        <s v="E1468"/>
        <s v="E1469"/>
        <s v="E1470"/>
        <s v="E1471"/>
        <s v="E1472"/>
        <s v="E1473"/>
        <s v="E1474"/>
        <s v="E1475"/>
        <s v="E1476"/>
        <s v="E1477"/>
        <s v="E1478"/>
        <s v="E1479"/>
        <s v="E1480"/>
        <s v="E1481"/>
        <s v="E1482"/>
        <s v="E1483"/>
        <s v="E1484"/>
        <s v="E1485"/>
        <s v="E1486"/>
        <s v="E1487"/>
        <s v="E1488"/>
        <s v="E1489"/>
        <s v="E1490"/>
        <s v="E1491"/>
        <s v="E1492"/>
        <s v="E1493"/>
        <s v="E1494"/>
        <s v="E1495"/>
        <s v="E1496"/>
        <s v="E1497"/>
        <s v="E1498"/>
        <s v="E1499"/>
        <s v="E1500"/>
        <s v="E1501"/>
        <s v="E1502"/>
        <s v="E1503"/>
        <s v="E1504"/>
        <s v="E1505"/>
        <s v="E1506"/>
        <s v="E1507"/>
        <s v="E1508"/>
        <s v="E1509"/>
        <s v="E1510"/>
        <s v="E1511"/>
        <s v="E1512"/>
        <s v="E1513"/>
        <s v="E1514"/>
        <s v="E1515"/>
        <s v="E1516"/>
        <s v="E1517"/>
        <s v="E1518"/>
        <s v="E1519"/>
        <s v="E1520"/>
        <s v="E1521"/>
        <s v="E1522"/>
        <s v="E1523"/>
        <s v="E1524"/>
        <s v="E1525"/>
        <s v="E1526"/>
        <s v="E1527"/>
        <s v="E1528"/>
        <s v="E1529"/>
        <s v="E1530"/>
        <s v="E1531"/>
        <s v="E1532"/>
        <s v="E1533"/>
        <s v="E1534"/>
        <s v="E1535"/>
        <s v="E1536"/>
        <s v="E1537"/>
        <s v="E1538"/>
        <s v="E1539"/>
        <s v="E1540"/>
        <s v="E1541"/>
        <s v="E1542"/>
        <s v="E1543"/>
        <s v="E1544"/>
        <s v="E1545"/>
        <s v="E1546"/>
        <s v="E1547"/>
        <s v="E1548"/>
        <s v="E1549"/>
        <s v="E1550"/>
        <s v="E1551"/>
        <s v="E1552"/>
        <s v="E1553"/>
        <s v="E1554"/>
        <s v="E1555"/>
        <s v="E1556"/>
        <s v="E1557"/>
        <s v="E1558"/>
        <s v="E1559"/>
        <s v="E1560"/>
        <s v="E1561"/>
        <s v="E1562"/>
        <s v="E1563"/>
        <s v="E1564"/>
        <s v="E1565"/>
        <s v="E1566"/>
        <s v="E1567"/>
        <s v="E1568"/>
        <s v="E1569"/>
        <s v="E1570"/>
        <s v="E1571"/>
        <s v="E1572"/>
        <s v="E1573"/>
        <s v="E1574"/>
        <s v="E1575"/>
        <s v="E1576"/>
        <s v="E1577"/>
        <s v="E1578"/>
        <s v="E1579"/>
        <s v="E1580"/>
        <s v="E1581"/>
        <s v="E1582"/>
        <s v="E1583"/>
        <s v="E1584"/>
        <s v="E1585"/>
        <s v="E1586"/>
        <s v="E1587"/>
        <s v="E1588"/>
        <s v="E1589"/>
        <s v="E1590"/>
        <s v="E1591"/>
        <s v="E1592"/>
        <s v="E1593"/>
        <s v="E1594"/>
        <s v="E1595"/>
        <s v="E1596"/>
        <s v="E1597"/>
        <s v="E1598"/>
        <s v="E1599"/>
        <s v="E1600"/>
        <s v="E1601"/>
        <s v="E1602"/>
        <s v="E1603"/>
        <s v="E1604"/>
        <s v="E1605"/>
        <s v="E1606"/>
        <s v="E1607"/>
        <s v="E1608"/>
        <s v="E1609"/>
        <s v="E1610"/>
        <s v="E1611"/>
        <s v="E1612"/>
        <s v="E1613"/>
        <s v="E1614"/>
        <s v="E1615"/>
        <s v="E1616"/>
        <s v="E1617"/>
        <s v="E1618"/>
        <s v="E1619"/>
        <s v="E1620"/>
        <s v="E1621"/>
        <s v="E1622"/>
        <s v="E1623"/>
        <s v="E1624"/>
        <s v="E1625"/>
        <s v="E1626"/>
        <s v="E1627"/>
        <s v="E1628"/>
        <s v="E1629"/>
        <s v="E1630"/>
        <s v="E1631"/>
        <s v="E1632"/>
        <s v="E1633"/>
        <s v="E1634"/>
        <s v="E1635"/>
        <s v="E1636"/>
        <s v="E1637"/>
        <s v="E1638"/>
        <s v="E1639"/>
        <s v="E1640"/>
        <s v="E1641"/>
        <s v="E1642"/>
        <s v="E1643"/>
        <s v="E1644"/>
        <s v="E1645"/>
        <s v="E1646"/>
        <s v="E1647"/>
        <s v="E1648"/>
        <s v="E1649"/>
        <s v="E1650"/>
        <s v="E1651"/>
        <s v="E1652"/>
        <s v="E1653"/>
        <s v="E1654"/>
        <s v="E1655"/>
        <s v="E1656"/>
        <s v="E1657"/>
        <s v="E1658"/>
        <s v="E1659"/>
        <s v="E1660"/>
        <s v="E1661"/>
        <s v="E1662"/>
        <s v="E1663"/>
        <s v="E1664"/>
        <s v="E1665"/>
        <s v="E1666"/>
        <s v="E1667"/>
        <s v="E1668"/>
        <s v="E1669"/>
        <s v="E1670"/>
        <s v="E1671"/>
        <s v="E1672"/>
        <s v="E1673"/>
        <s v="E1674"/>
        <s v="E1675"/>
        <s v="E1676"/>
        <s v="E1677"/>
        <s v="E1678"/>
        <s v="E1679"/>
        <s v="E1680"/>
        <s v="E1681"/>
        <s v="E1682"/>
        <s v="E1683"/>
        <s v="E1684"/>
        <s v="E1685"/>
        <s v="E1686"/>
        <s v="E1687"/>
        <s v="E1688"/>
        <s v="E1689"/>
        <s v="E1690"/>
        <s v="E1691"/>
        <s v="E1692"/>
        <s v="E1693"/>
        <s v="E1694"/>
        <s v="E1695"/>
        <s v="E1696"/>
        <s v="E1697"/>
        <s v="E1698"/>
        <s v="E1699"/>
        <s v="E1700"/>
        <s v="E1701"/>
        <s v="E1702"/>
        <s v="E1703"/>
        <s v="E1704"/>
        <s v="E1705"/>
        <s v="E1706"/>
        <s v="E1707"/>
        <s v="E1708"/>
        <s v="E1709"/>
        <s v="E1710"/>
        <s v="E1711"/>
        <s v="E1712"/>
        <s v="E1713"/>
        <s v="E1714"/>
        <s v="E1715"/>
        <s v="E1716"/>
        <s v="E1717"/>
        <s v="E1718"/>
        <s v="E1719"/>
        <s v="E1720"/>
        <s v="E1721"/>
        <s v="E1722"/>
        <s v="E1723"/>
        <s v="E1724"/>
        <s v="E1725"/>
        <s v="E1726"/>
        <s v="E1727"/>
        <s v="E1728"/>
        <s v="E1729"/>
        <s v="E1730"/>
        <s v="E1731"/>
        <s v="E1732"/>
        <s v="E1733"/>
        <s v="E1734"/>
        <s v="E1735"/>
        <s v="E1736"/>
        <s v="E1737"/>
        <s v="E1738"/>
        <s v="E1739"/>
        <s v="E1740"/>
        <s v="E1741"/>
        <s v="E1742"/>
        <s v="E1743"/>
        <s v="E1744"/>
        <s v="E1745"/>
        <s v="E1746"/>
        <s v="E1747"/>
        <s v="E1748"/>
        <s v="E1749"/>
        <s v="E1750"/>
        <s v="E1751"/>
        <s v="E1752"/>
        <s v="E1753"/>
        <s v="E1754"/>
        <s v="E1755"/>
        <s v="E1756"/>
        <s v="E1757"/>
        <s v="E1758"/>
        <s v="E1759"/>
        <s v="E1760"/>
        <s v="E1761"/>
        <s v="E1762"/>
        <s v="E1763"/>
        <s v="E1764"/>
        <s v="E1765"/>
        <s v="E1766"/>
        <s v="E1767"/>
        <s v="E1768"/>
        <s v="E1769"/>
        <s v="E1770"/>
        <s v="E1771"/>
        <s v="E1772"/>
        <s v="E1773"/>
        <s v="E1774"/>
        <s v="E1775"/>
        <s v="E1776"/>
        <s v="E1777"/>
        <s v="E1778"/>
        <s v="E1779"/>
        <s v="E1780"/>
        <s v="E1781"/>
        <s v="E1782"/>
        <s v="E1783"/>
        <s v="E1784"/>
        <s v="E1785"/>
        <s v="E1786"/>
        <s v="E1787"/>
        <s v="E1788"/>
        <s v="E1789"/>
        <s v="E1790"/>
        <s v="E1791"/>
        <s v="E1792"/>
        <s v="E1793"/>
        <s v="E1794"/>
        <s v="E1795"/>
        <s v="E1796"/>
        <s v="E1797"/>
        <s v="E1798"/>
        <s v="E1799"/>
        <s v="E1800"/>
        <s v="E1801"/>
        <s v="E1802"/>
        <s v="E1803"/>
        <s v="E1804"/>
        <s v="E1805"/>
        <s v="E1806"/>
        <s v="E1807"/>
        <s v="E1808"/>
        <s v="E1809"/>
        <s v="E1810"/>
        <s v="E1811"/>
        <s v="E1812"/>
        <s v="E1813"/>
        <s v="E1814"/>
        <s v="E1815"/>
        <s v="E1816"/>
        <s v="E1817"/>
        <s v="E1818"/>
        <s v="E1819"/>
        <s v="E1820"/>
        <s v="E1821"/>
        <s v="E1822"/>
        <s v="E1823"/>
        <s v="E1824"/>
        <s v="E1825"/>
        <s v="E1826"/>
        <s v="E1827"/>
        <s v="E1828"/>
        <s v="E1829"/>
        <s v="E1830"/>
        <s v="E1831"/>
        <s v="E1832"/>
        <s v="E1833"/>
        <s v="E1834"/>
        <s v="E1835"/>
        <s v="E1836"/>
        <s v="E1837"/>
        <s v="E1838"/>
        <s v="E1839"/>
        <s v="E1840"/>
        <s v="E1841"/>
        <s v="E1842"/>
        <s v="E1843"/>
        <s v="E1844"/>
        <s v="E1845"/>
        <s v="E1846"/>
        <s v="E1847"/>
        <s v="E1848"/>
        <s v="E1849"/>
        <s v="E1850"/>
        <s v="E1851"/>
        <s v="E1852"/>
        <s v="E1853"/>
        <s v="E1854"/>
        <s v="E1855"/>
        <s v="E1856"/>
        <s v="E1857"/>
        <s v="E1858"/>
        <s v="E1859"/>
        <s v="E1860"/>
        <s v="E1861"/>
        <s v="E1862"/>
        <s v="E1863"/>
        <s v="E1864"/>
        <s v="E1865"/>
        <s v="E1866"/>
        <s v="E1867"/>
        <s v="E1868"/>
        <s v="E1869"/>
        <s v="E1870"/>
        <s v="E1871"/>
        <s v="E1872"/>
        <s v="E1873"/>
        <s v="E1874"/>
        <s v="E1875"/>
        <s v="E1876"/>
        <s v="E1877"/>
        <s v="E1878"/>
        <s v="E1879"/>
        <s v="E1880"/>
        <s v="E1881"/>
        <s v="E1882"/>
        <s v="E1883"/>
        <s v="E1884"/>
        <s v="E1885"/>
        <s v="E1886"/>
        <s v="E1887"/>
        <s v="E1888"/>
        <s v="E1889"/>
        <s v="E1890"/>
        <s v="E1891"/>
        <s v="E1892"/>
        <s v="E1893"/>
        <s v="E1894"/>
        <s v="E1895"/>
        <s v="E1896"/>
        <s v="E1897"/>
        <s v="E1898"/>
        <s v="E1899"/>
        <s v="E1900"/>
        <s v="E1901"/>
        <s v="E1902"/>
        <s v="E1903"/>
        <s v="E1904"/>
        <s v="E1905"/>
        <s v="E1906"/>
        <s v="E1907"/>
        <s v="E1908"/>
        <s v="E1909"/>
        <s v="E1910"/>
        <s v="E1911"/>
        <s v="E1912"/>
        <s v="E1913"/>
        <s v="E1914"/>
        <s v="E1915"/>
        <s v="E1916"/>
        <s v="E1917"/>
        <s v="E1918"/>
        <s v="E1919"/>
        <s v="E1920"/>
        <s v="E1921"/>
        <s v="E1922"/>
        <s v="E1923"/>
        <s v="E1924"/>
        <s v="E1925"/>
        <s v="E1926"/>
        <s v="E1927"/>
        <s v="E1928"/>
        <s v="E1929"/>
        <s v="E1930"/>
        <s v="E1931"/>
        <s v="E1932"/>
        <s v="E1933"/>
        <s v="E1934"/>
        <s v="E1935"/>
        <s v="E1936"/>
        <s v="E1937"/>
        <s v="E1938"/>
        <s v="E1939"/>
        <s v="E1940"/>
        <s v="E1941"/>
        <s v="E1942"/>
        <s v="E1943"/>
        <s v="E1944"/>
        <s v="E1945"/>
        <s v="E1946"/>
        <s v="E1947"/>
        <s v="E1948"/>
        <s v="E1949"/>
        <s v="E1950"/>
        <s v="E1951"/>
        <s v="E1952"/>
        <s v="E1953"/>
        <s v="E1954"/>
        <s v="E1955"/>
        <s v="E1956"/>
        <s v="E1957"/>
        <s v="E1958"/>
        <s v="E1959"/>
        <s v="E1960"/>
        <s v="E1961"/>
        <s v="E1962"/>
        <s v="E1963"/>
        <s v="E1964"/>
        <s v="E1965"/>
        <s v="E1966"/>
        <s v="E1967"/>
        <s v="E1968"/>
        <s v="E1969"/>
        <s v="E1970"/>
        <s v="E1971"/>
        <s v="E1972"/>
        <s v="E1973"/>
        <s v="E1974"/>
        <s v="E1975"/>
        <s v="E1976"/>
        <s v="E1977"/>
        <s v="E1978"/>
        <s v="E1979"/>
        <s v="E1980"/>
        <s v="E1981"/>
        <s v="E1982"/>
        <s v="E1983"/>
        <s v="E1984"/>
        <s v="E1985"/>
        <s v="E1986"/>
        <s v="E1987"/>
        <s v="E1988"/>
        <s v="E1989"/>
        <s v="E1990"/>
        <s v="E1991"/>
        <s v="E1992"/>
        <s v="E1993"/>
        <s v="E1994"/>
        <s v="E1995"/>
        <s v="E1996"/>
        <s v="E1997"/>
        <s v="E1998"/>
        <s v="E1999"/>
        <s v="E2000"/>
        <s v="E2001"/>
        <s v="E2002"/>
        <s v="E2003"/>
        <s v="E2004"/>
        <s v="E2005"/>
        <s v="E2006"/>
        <s v="E2007"/>
        <s v="E2008"/>
        <s v="E2009"/>
        <s v="E2010"/>
        <s v="E2011"/>
        <s v="E2012"/>
        <s v="E2013"/>
        <s v="E2014"/>
        <s v="E2015"/>
        <s v="E2016"/>
        <s v="E2017"/>
        <s v="E2018"/>
        <s v="E2019"/>
        <s v="E2020"/>
        <s v="E2021"/>
        <s v="E2022"/>
        <s v="E2023"/>
        <s v="E2024"/>
        <s v="E2025"/>
        <s v="E2026"/>
        <s v="E2027"/>
        <s v="E2028"/>
        <s v="E2029"/>
        <s v="E2030"/>
        <s v="E2031"/>
        <s v="E2032"/>
        <s v="E2033"/>
        <s v="E2034"/>
        <s v="E2035"/>
        <s v="E2036"/>
        <s v="E2037"/>
        <s v="E2038"/>
        <s v="E2039"/>
        <s v="E2040"/>
        <s v="E2041"/>
        <s v="E2042"/>
        <s v="E2043"/>
        <s v="E2044"/>
        <s v="E2045"/>
        <s v="E2046"/>
        <s v="E2047"/>
        <s v="E2048"/>
        <s v="E2049"/>
        <s v="E2050"/>
        <s v="E2051"/>
        <s v="E2052"/>
        <s v="E2053"/>
        <s v="E2054"/>
        <s v="E2055"/>
        <s v="E2056"/>
        <s v="E2057"/>
        <s v="E2058"/>
        <s v="E2059"/>
        <s v="E2060"/>
        <s v="E2061"/>
        <s v="E2062"/>
        <s v="E2063"/>
        <s v="E2064"/>
        <s v="E2065"/>
        <s v="E2066"/>
        <s v="E2067"/>
        <s v="E2068"/>
        <s v="E2069"/>
        <s v="E2070"/>
        <s v="E2071"/>
        <s v="E2072"/>
        <s v="E2073"/>
        <s v="E2074"/>
        <s v="E2075"/>
        <s v="E2076"/>
        <s v="E2077"/>
        <s v="E2078"/>
        <s v="E2079"/>
        <s v="E2080"/>
        <s v="E2081"/>
        <s v="E2082"/>
        <s v="E2083"/>
        <s v="E2084"/>
        <s v="E2085"/>
        <s v="E2086"/>
        <s v="E2087"/>
        <s v="E2088"/>
        <s v="E2089"/>
        <s v="E2090"/>
        <s v="E2091"/>
        <s v="E2092"/>
        <s v="E2093"/>
        <s v="E2094"/>
        <s v="E2095"/>
        <s v="E2096"/>
        <s v="E2097"/>
        <s v="E2098"/>
        <s v="E2099"/>
        <s v="E2100"/>
        <s v="E2101"/>
        <s v="E2102"/>
        <s v="E2103"/>
        <s v="E2104"/>
        <s v="E2105"/>
        <s v="E2106"/>
        <s v="E2107"/>
        <s v="E2108"/>
        <s v="E2109"/>
        <s v="E2110"/>
        <s v="E2111"/>
        <s v="E2112"/>
        <s v="E2113"/>
        <s v="E2114"/>
        <s v="E2115"/>
        <s v="E2116"/>
        <s v="E2117"/>
        <s v="E2118"/>
        <s v="E2119"/>
        <s v="E2120"/>
        <s v="E2121"/>
        <s v="E2122"/>
        <s v="E2123"/>
        <s v="E2124"/>
        <s v="E2125"/>
        <s v="E2126"/>
        <s v="E2127"/>
        <s v="E2128"/>
        <s v="E2129"/>
        <s v="E2130"/>
        <s v="E2131"/>
        <s v="E2132"/>
        <s v="E2133"/>
        <s v="E2134"/>
        <s v="E2135"/>
        <s v="E2136"/>
        <s v="E2137"/>
        <s v="E2138"/>
        <s v="E2139"/>
        <s v="E2140"/>
        <s v="E2141"/>
        <s v="E2142"/>
        <s v="E2143"/>
        <s v="E2144"/>
        <s v="E2145"/>
        <s v="E2146"/>
        <s v="E2147"/>
        <s v="E2148"/>
        <s v="E2149"/>
        <s v="E2150"/>
        <s v="E2151"/>
        <s v="E2152"/>
        <s v="E2153"/>
        <s v="E2154"/>
        <s v="E2155"/>
        <s v="E2156"/>
        <s v="E2157"/>
        <s v="E2158"/>
        <s v="E2159"/>
        <s v="E2160"/>
        <s v="E2161"/>
        <s v="E2162"/>
        <s v="E2163"/>
        <s v="E2164"/>
        <s v="E2165"/>
        <s v="E2166"/>
        <s v="E2167"/>
        <s v="E2168"/>
        <s v="E2169"/>
        <s v="E2170"/>
        <s v="E2171"/>
        <s v="E2172"/>
        <s v="E2173"/>
        <s v="E2174"/>
        <s v="E2175"/>
        <s v="E2176"/>
        <s v="E2177"/>
        <s v="E2178"/>
        <s v="E2179"/>
        <s v="E2180"/>
        <s v="E2181"/>
        <s v="E2182"/>
        <s v="E2183"/>
        <s v="E2184"/>
        <s v="E2185"/>
        <s v="E2186"/>
        <s v="E2187"/>
        <s v="E2188"/>
        <s v="E2189"/>
        <s v="E2190"/>
        <s v="E2191"/>
        <s v="E2192"/>
        <s v="E2193"/>
        <s v="E2194"/>
        <s v="E2195"/>
        <s v="E2196"/>
        <s v="E2197"/>
        <s v="E2198"/>
        <s v="E2199"/>
        <s v="E2200"/>
      </sharedItems>
    </cacheField>
    <cacheField name="Name" numFmtId="0">
      <sharedItems/>
    </cacheField>
    <cacheField name="Department" numFmtId="0">
      <sharedItems count="6">
        <s v="Marketing"/>
        <s v="IT"/>
        <s v="HR"/>
        <s v="Operations"/>
        <s v="Finance"/>
        <s v="Sales"/>
      </sharedItems>
    </cacheField>
    <cacheField name="JobRole" numFmtId="0">
      <sharedItems/>
    </cacheField>
    <cacheField name="Gender" numFmtId="0">
      <sharedItems count="2">
        <s v="Male"/>
        <s v="Female"/>
      </sharedItems>
    </cacheField>
    <cacheField name="Age" numFmtId="0">
      <sharedItems containsSemiMixedTypes="0" containsString="0" containsNumber="1" containsInteger="1" minValue="22" maxValue="58"/>
    </cacheField>
    <cacheField name="MaritalStatus" numFmtId="0">
      <sharedItems/>
    </cacheField>
    <cacheField name="DateOfJoining" numFmtId="165">
      <sharedItems/>
    </cacheField>
    <cacheField name="DateOfExit" numFmtId="0">
      <sharedItems containsBlank="1"/>
    </cacheField>
    <cacheField name="Attrition" numFmtId="0">
      <sharedItems count="2">
        <s v="Yes"/>
        <s v="No"/>
      </sharedItems>
    </cacheField>
    <cacheField name="MonthlyIncome" numFmtId="0">
      <sharedItems containsSemiMixedTypes="0" containsString="0" containsNumber="1" containsInteger="1" minValue="25004" maxValue="149751" count="1196">
        <n v="80302"/>
        <n v="124458"/>
        <n v="59671"/>
        <n v="117349"/>
        <n v="71566"/>
        <n v="146292"/>
        <n v="144686"/>
        <n v="122912"/>
        <n v="107240"/>
        <n v="119466"/>
        <n v="91542"/>
        <n v="67487"/>
        <n v="125379"/>
        <n v="113039"/>
        <n v="53864"/>
        <n v="42342"/>
        <n v="78883"/>
        <n v="95292"/>
        <n v="146420"/>
        <n v="80444"/>
        <n v="123038"/>
        <n v="137960"/>
        <n v="51772"/>
        <n v="106416"/>
        <n v="62353"/>
        <n v="45374"/>
        <n v="80518"/>
        <n v="148869"/>
        <n v="142823"/>
        <n v="28248"/>
        <n v="132031"/>
        <n v="91768"/>
        <n v="103193"/>
        <n v="146316"/>
        <n v="136151"/>
        <n v="112153"/>
        <n v="110813"/>
        <n v="37240"/>
        <n v="141147"/>
        <n v="53683"/>
        <n v="112500"/>
        <n v="83991"/>
        <n v="66904"/>
        <n v="52110"/>
        <n v="95545"/>
        <n v="135166"/>
        <n v="48819"/>
        <n v="86644"/>
        <n v="56266"/>
        <n v="39168"/>
        <n v="126250"/>
        <n v="136355"/>
        <n v="126533"/>
        <n v="104997"/>
        <n v="116905"/>
        <n v="128931"/>
        <n v="68357"/>
        <n v="53361"/>
        <n v="41591"/>
        <n v="49164"/>
        <n v="131318"/>
        <n v="137743"/>
        <n v="47782"/>
        <n v="55595"/>
        <n v="32816"/>
        <n v="95776"/>
        <n v="125238"/>
        <n v="131724"/>
        <n v="111846"/>
        <n v="111200"/>
        <n v="146591"/>
        <n v="78476"/>
        <n v="84871"/>
        <n v="62072"/>
        <n v="84682"/>
        <n v="128860"/>
        <n v="144333"/>
        <n v="136718"/>
        <n v="81881"/>
        <n v="74131"/>
        <n v="144646"/>
        <n v="82898"/>
        <n v="74986"/>
        <n v="134161"/>
        <n v="109717"/>
        <n v="128089"/>
        <n v="34869"/>
        <n v="84609"/>
        <n v="54015"/>
        <n v="55775"/>
        <n v="148083"/>
        <n v="61160"/>
        <n v="33992"/>
        <n v="129662"/>
        <n v="93955"/>
        <n v="93347"/>
        <n v="67219"/>
        <n v="128952"/>
        <n v="120631"/>
        <n v="37656"/>
        <n v="148355"/>
        <n v="88201"/>
        <n v="113470"/>
        <n v="48777"/>
        <n v="73503"/>
        <n v="111761"/>
        <n v="94066"/>
        <n v="40726"/>
        <n v="137953"/>
        <n v="78088"/>
        <n v="93676"/>
        <n v="50415"/>
        <n v="149687"/>
        <n v="33950"/>
        <n v="134012"/>
        <n v="110437"/>
        <n v="117749"/>
        <n v="128445"/>
        <n v="35682"/>
        <n v="117121"/>
        <n v="50166"/>
        <n v="69140"/>
        <n v="62346"/>
        <n v="125851"/>
        <n v="147459"/>
        <n v="149048"/>
        <n v="28694"/>
        <n v="83799"/>
        <n v="40970"/>
        <n v="81261"/>
        <n v="128076"/>
        <n v="121068"/>
        <n v="87722"/>
        <n v="92552"/>
        <n v="41315"/>
        <n v="130008"/>
        <n v="103986"/>
        <n v="112973"/>
        <n v="75181"/>
        <n v="110139"/>
        <n v="53124"/>
        <n v="135824"/>
        <n v="128817"/>
        <n v="118969"/>
        <n v="140075"/>
        <n v="147517"/>
        <n v="109015"/>
        <n v="30958"/>
        <n v="64596"/>
        <n v="69589"/>
        <n v="41059"/>
        <n v="119519"/>
        <n v="56552"/>
        <n v="140665"/>
        <n v="75639"/>
        <n v="123954"/>
        <n v="44521"/>
        <n v="117895"/>
        <n v="59803"/>
        <n v="132696"/>
        <n v="90774"/>
        <n v="66124"/>
        <n v="54473"/>
        <n v="100166"/>
        <n v="53047"/>
        <n v="55518"/>
        <n v="51143"/>
        <n v="140637"/>
        <n v="62298"/>
        <n v="120829"/>
        <n v="142577"/>
        <n v="75275"/>
        <n v="40495"/>
        <n v="84634"/>
        <n v="94228"/>
        <n v="82912"/>
        <n v="84873"/>
        <n v="70158"/>
        <n v="83790"/>
        <n v="124113"/>
        <n v="147868"/>
        <n v="103352"/>
        <n v="62914"/>
        <n v="79206"/>
        <n v="116266"/>
        <n v="98713"/>
        <n v="37119"/>
        <n v="87835"/>
        <n v="104220"/>
        <n v="92215"/>
        <n v="59180"/>
        <n v="97173"/>
        <n v="89004"/>
        <n v="135434"/>
        <n v="88944"/>
        <n v="145330"/>
        <n v="56877"/>
        <n v="47463"/>
        <n v="60532"/>
        <n v="46292"/>
        <n v="82290"/>
        <n v="97487"/>
        <n v="45214"/>
        <n v="124791"/>
        <n v="37198"/>
        <n v="93302"/>
        <n v="64289"/>
        <n v="68544"/>
        <n v="48283"/>
        <n v="147167"/>
        <n v="90444"/>
        <n v="95040"/>
        <n v="105304"/>
        <n v="98137"/>
        <n v="63722"/>
        <n v="87411"/>
        <n v="39334"/>
        <n v="107543"/>
        <n v="51972"/>
        <n v="138067"/>
        <n v="131658"/>
        <n v="43528"/>
        <n v="89178"/>
        <n v="110599"/>
        <n v="61025"/>
        <n v="132821"/>
        <n v="70688"/>
        <n v="99720"/>
        <n v="123316"/>
        <n v="43634"/>
        <n v="149551"/>
        <n v="89843"/>
        <n v="107074"/>
        <n v="110798"/>
        <n v="36953"/>
        <n v="137766"/>
        <n v="126379"/>
        <n v="107323"/>
        <n v="81280"/>
        <n v="92862"/>
        <n v="94243"/>
        <n v="101986"/>
        <n v="95328"/>
        <n v="108138"/>
        <n v="104800"/>
        <n v="92793"/>
        <n v="118365"/>
        <n v="113358"/>
        <n v="97465"/>
        <n v="90803"/>
        <n v="97494"/>
        <n v="124677"/>
        <n v="94443"/>
        <n v="123028"/>
        <n v="59208"/>
        <n v="39283"/>
        <n v="136736"/>
        <n v="31416"/>
        <n v="26567"/>
        <n v="50919"/>
        <n v="90028"/>
        <n v="106156"/>
        <n v="107674"/>
        <n v="60446"/>
        <n v="57487"/>
        <n v="102662"/>
        <n v="65508"/>
        <n v="130702"/>
        <n v="73967"/>
        <n v="66586"/>
        <n v="120529"/>
        <n v="99127"/>
        <n v="26493"/>
        <n v="89629"/>
        <n v="66774"/>
        <n v="105431"/>
        <n v="116382"/>
        <n v="45131"/>
        <n v="87071"/>
        <n v="83428"/>
        <n v="70061"/>
        <n v="87424"/>
        <n v="80492"/>
        <n v="97923"/>
        <n v="99264"/>
        <n v="104817"/>
        <n v="27651"/>
        <n v="120525"/>
        <n v="128742"/>
        <n v="145328"/>
        <n v="83471"/>
        <n v="75667"/>
        <n v="109852"/>
        <n v="53601"/>
        <n v="102826"/>
        <n v="118204"/>
        <n v="59003"/>
        <n v="135810"/>
        <n v="142911"/>
        <n v="86674"/>
        <n v="79146"/>
        <n v="138035"/>
        <n v="125202"/>
        <n v="120768"/>
        <n v="38462"/>
        <n v="81841"/>
        <n v="102292"/>
        <n v="134591"/>
        <n v="80164"/>
        <n v="90239"/>
        <n v="147306"/>
        <n v="143591"/>
        <n v="130066"/>
        <n v="140143"/>
        <n v="141146"/>
        <n v="74774"/>
        <n v="110848"/>
        <n v="120243"/>
        <n v="136656"/>
        <n v="132099"/>
        <n v="79046"/>
        <n v="71548"/>
        <n v="105065"/>
        <n v="84950"/>
        <n v="127377"/>
        <n v="124925"/>
        <n v="96802"/>
        <n v="96105"/>
        <n v="130946"/>
        <n v="57841"/>
        <n v="122309"/>
        <n v="26699"/>
        <n v="48255"/>
        <n v="135888"/>
        <n v="128534"/>
        <n v="96182"/>
        <n v="98575"/>
        <n v="75577"/>
        <n v="35793"/>
        <n v="45152"/>
        <n v="144404"/>
        <n v="124085"/>
        <n v="125306"/>
        <n v="43884"/>
        <n v="76653"/>
        <n v="49116"/>
        <n v="97045"/>
        <n v="106201"/>
        <n v="130866"/>
        <n v="85666"/>
        <n v="59502"/>
        <n v="143791"/>
        <n v="85909"/>
        <n v="99233"/>
        <n v="55673"/>
        <n v="108042"/>
        <n v="74326"/>
        <n v="35104"/>
        <n v="113503"/>
        <n v="92193"/>
        <n v="132649"/>
        <n v="106685"/>
        <n v="51522"/>
        <n v="140048"/>
        <n v="73546"/>
        <n v="144286"/>
        <n v="110792"/>
        <n v="99012"/>
        <n v="58263"/>
        <n v="91629"/>
        <n v="82065"/>
        <n v="108924"/>
        <n v="29726"/>
        <n v="27014"/>
        <n v="50496"/>
        <n v="149127"/>
        <n v="85387"/>
        <n v="92699"/>
        <n v="53647"/>
        <n v="51577"/>
        <n v="73653"/>
        <n v="93909"/>
        <n v="26103"/>
        <n v="105358"/>
        <n v="42188"/>
        <n v="130600"/>
        <n v="115510"/>
        <n v="27599"/>
        <n v="105434"/>
        <n v="70039"/>
        <n v="49102"/>
        <n v="28455"/>
        <n v="57426"/>
        <n v="139150"/>
        <n v="108858"/>
        <n v="25012"/>
        <n v="125384"/>
        <n v="46400"/>
        <n v="109994"/>
        <n v="60669"/>
        <n v="41389"/>
        <n v="116348"/>
        <n v="40985"/>
        <n v="114318"/>
        <n v="141328"/>
        <n v="128434"/>
        <n v="114908"/>
        <n v="98184"/>
        <n v="98272"/>
        <n v="34027"/>
        <n v="126714"/>
        <n v="78713"/>
        <n v="37943"/>
        <n v="146924"/>
        <n v="94339"/>
        <n v="93969"/>
        <n v="128869"/>
        <n v="135736"/>
        <n v="84297"/>
        <n v="54083"/>
        <n v="85341"/>
        <n v="119841"/>
        <n v="145831"/>
        <n v="93731"/>
        <n v="100399"/>
        <n v="59413"/>
        <n v="105739"/>
        <n v="70653"/>
        <n v="82732"/>
        <n v="26800"/>
        <n v="93585"/>
        <n v="128440"/>
        <n v="63337"/>
        <n v="146418"/>
        <n v="64626"/>
        <n v="142594"/>
        <n v="144240"/>
        <n v="144144"/>
        <n v="125327"/>
        <n v="124935"/>
        <n v="90840"/>
        <n v="125209"/>
        <n v="115159"/>
        <n v="95275"/>
        <n v="121360"/>
        <n v="80372"/>
        <n v="96618"/>
        <n v="110010"/>
        <n v="105225"/>
        <n v="65378"/>
        <n v="90225"/>
        <n v="25861"/>
        <n v="112424"/>
        <n v="115638"/>
        <n v="132513"/>
        <n v="93766"/>
        <n v="104802"/>
        <n v="140823"/>
        <n v="79269"/>
        <n v="97088"/>
        <n v="134291"/>
        <n v="127759"/>
        <n v="33678"/>
        <n v="60585"/>
        <n v="83166"/>
        <n v="113698"/>
        <n v="141547"/>
        <n v="66831"/>
        <n v="70916"/>
        <n v="42049"/>
        <n v="134599"/>
        <n v="37178"/>
        <n v="76390"/>
        <n v="135856"/>
        <n v="110124"/>
        <n v="33658"/>
        <n v="39984"/>
        <n v="67914"/>
        <n v="63207"/>
        <n v="36703"/>
        <n v="137885"/>
        <n v="43228"/>
        <n v="111235"/>
        <n v="132488"/>
        <n v="78849"/>
        <n v="92757"/>
        <n v="95127"/>
        <n v="59136"/>
        <n v="136600"/>
        <n v="130885"/>
        <n v="123665"/>
        <n v="31884"/>
        <n v="94526"/>
        <n v="145329"/>
        <n v="93151"/>
        <n v="53759"/>
        <n v="42027"/>
        <n v="125841"/>
        <n v="58847"/>
        <n v="109323"/>
        <n v="44510"/>
        <n v="87670"/>
        <n v="64692"/>
        <n v="111603"/>
        <n v="119337"/>
        <n v="78150"/>
        <n v="143905"/>
        <n v="134491"/>
        <n v="114664"/>
        <n v="116264"/>
        <n v="25946"/>
        <n v="79005"/>
        <n v="25599"/>
        <n v="50391"/>
        <n v="57949"/>
        <n v="34287"/>
        <n v="56079"/>
        <n v="84636"/>
        <n v="42891"/>
        <n v="97450"/>
        <n v="81917"/>
        <n v="76684"/>
        <n v="71976"/>
        <n v="85786"/>
        <n v="63874"/>
        <n v="39544"/>
        <n v="56278"/>
        <n v="33305"/>
        <n v="148910"/>
        <n v="61168"/>
        <n v="70442"/>
        <n v="100851"/>
        <n v="54724"/>
        <n v="48891"/>
        <n v="59132"/>
        <n v="40923"/>
        <n v="117464"/>
        <n v="113867"/>
        <n v="54116"/>
        <n v="144071"/>
        <n v="139596"/>
        <n v="36282"/>
        <n v="97851"/>
        <n v="89762"/>
        <n v="112282"/>
        <n v="101161"/>
        <n v="32669"/>
        <n v="63228"/>
        <n v="114842"/>
        <n v="145705"/>
        <n v="85357"/>
        <n v="47571"/>
        <n v="115546"/>
        <n v="33683"/>
        <n v="149360"/>
        <n v="118822"/>
        <n v="82627"/>
        <n v="39459"/>
        <n v="103694"/>
        <n v="26675"/>
        <n v="33481"/>
        <n v="124130"/>
        <n v="89138"/>
        <n v="106522"/>
        <n v="70038"/>
        <n v="48182"/>
        <n v="113476"/>
        <n v="74518"/>
        <n v="125295"/>
        <n v="65907"/>
        <n v="92470"/>
        <n v="115552"/>
        <n v="136061"/>
        <n v="119071"/>
        <n v="81742"/>
        <n v="107292"/>
        <n v="120238"/>
        <n v="51680"/>
        <n v="57189"/>
        <n v="97182"/>
        <n v="113037"/>
        <n v="133656"/>
        <n v="130623"/>
        <n v="89272"/>
        <n v="118804"/>
        <n v="138633"/>
        <n v="145047"/>
        <n v="133055"/>
        <n v="109094"/>
        <n v="92681"/>
        <n v="102728"/>
        <n v="149270"/>
        <n v="106003"/>
        <n v="89769"/>
        <n v="133014"/>
        <n v="143925"/>
        <n v="117858"/>
        <n v="148118"/>
        <n v="141945"/>
        <n v="59131"/>
        <n v="66026"/>
        <n v="29700"/>
        <n v="89616"/>
        <n v="141771"/>
        <n v="62261"/>
        <n v="107359"/>
        <n v="138151"/>
        <n v="36690"/>
        <n v="104103"/>
        <n v="124154"/>
        <n v="114946"/>
        <n v="41749"/>
        <n v="91932"/>
        <n v="128045"/>
        <n v="145338"/>
        <n v="110957"/>
        <n v="41395"/>
        <n v="137484"/>
        <n v="27572"/>
        <n v="121610"/>
        <n v="118623"/>
        <n v="106618"/>
        <n v="102025"/>
        <n v="62022"/>
        <n v="55765"/>
        <n v="69267"/>
        <n v="142482"/>
        <n v="127518"/>
        <n v="90325"/>
        <n v="134420"/>
        <n v="80275"/>
        <n v="36112"/>
        <n v="77691"/>
        <n v="109394"/>
        <n v="76117"/>
        <n v="28655"/>
        <n v="31256"/>
        <n v="112231"/>
        <n v="92692"/>
        <n v="83479"/>
        <n v="132978"/>
        <n v="122844"/>
        <n v="73688"/>
        <n v="53256"/>
        <n v="99155"/>
        <n v="36706"/>
        <n v="36603"/>
        <n v="124302"/>
        <n v="128121"/>
        <n v="82280"/>
        <n v="58496"/>
        <n v="66948"/>
        <n v="91666"/>
        <n v="55636"/>
        <n v="127613"/>
        <n v="46939"/>
        <n v="121886"/>
        <n v="130127"/>
        <n v="103579"/>
        <n v="142344"/>
        <n v="131532"/>
        <n v="122405"/>
        <n v="29822"/>
        <n v="47344"/>
        <n v="140474"/>
        <n v="109012"/>
        <n v="124486"/>
        <n v="140356"/>
        <n v="87910"/>
        <n v="93114"/>
        <n v="141665"/>
        <n v="63655"/>
        <n v="69514"/>
        <n v="143537"/>
        <n v="65850"/>
        <n v="101865"/>
        <n v="49819"/>
        <n v="84546"/>
        <n v="77469"/>
        <n v="107750"/>
        <n v="136088"/>
        <n v="64986"/>
        <n v="74570"/>
        <n v="31980"/>
        <n v="75871"/>
        <n v="101177"/>
        <n v="80708"/>
        <n v="85981"/>
        <n v="48536"/>
        <n v="37898"/>
        <n v="43070"/>
        <n v="128797"/>
        <n v="139524"/>
        <n v="67739"/>
        <n v="33350"/>
        <n v="133327"/>
        <n v="32530"/>
        <n v="143435"/>
        <n v="51437"/>
        <n v="100514"/>
        <n v="48537"/>
        <n v="140678"/>
        <n v="125471"/>
        <n v="122774"/>
        <n v="33943"/>
        <n v="48230"/>
        <n v="82941"/>
        <n v="146742"/>
        <n v="140642"/>
        <n v="49844"/>
        <n v="110720"/>
        <n v="125603"/>
        <n v="108277"/>
        <n v="117357"/>
        <n v="44879"/>
        <n v="109940"/>
        <n v="139387"/>
        <n v="37027"/>
        <n v="104410"/>
        <n v="80403"/>
        <n v="45027"/>
        <n v="42911"/>
        <n v="75336"/>
        <n v="126091"/>
        <n v="107700"/>
        <n v="149751"/>
        <n v="58144"/>
        <n v="100053"/>
        <n v="126416"/>
        <n v="48853"/>
        <n v="82767"/>
        <n v="101761"/>
        <n v="93463"/>
        <n v="148337"/>
        <n v="103893"/>
        <n v="148461"/>
        <n v="148087"/>
        <n v="29160"/>
        <n v="47338"/>
        <n v="41134"/>
        <n v="130964"/>
        <n v="136847"/>
        <n v="129532"/>
        <n v="134735"/>
        <n v="87689"/>
        <n v="137299"/>
        <n v="76257"/>
        <n v="84969"/>
        <n v="120152"/>
        <n v="92559"/>
        <n v="110563"/>
        <n v="40286"/>
        <n v="75326"/>
        <n v="131544"/>
        <n v="142650"/>
        <n v="46130"/>
        <n v="31051"/>
        <n v="91924"/>
        <n v="97361"/>
        <n v="35912"/>
        <n v="80009"/>
        <n v="33645"/>
        <n v="127594"/>
        <n v="142515"/>
        <n v="41563"/>
        <n v="90828"/>
        <n v="120676"/>
        <n v="91674"/>
        <n v="95035"/>
        <n v="34846"/>
        <n v="57737"/>
        <n v="145986"/>
        <n v="64105"/>
        <n v="142769"/>
        <n v="95310"/>
        <n v="62342"/>
        <n v="97105"/>
        <n v="45387"/>
        <n v="124732"/>
        <n v="87114"/>
        <n v="50189"/>
        <n v="80846"/>
        <n v="142323"/>
        <n v="58064"/>
        <n v="104261"/>
        <n v="144560"/>
        <n v="119472"/>
        <n v="88284"/>
        <n v="49928"/>
        <n v="136735"/>
        <n v="146536"/>
        <n v="35911"/>
        <n v="120745"/>
        <n v="51728"/>
        <n v="85213"/>
        <n v="104668"/>
        <n v="74528"/>
        <n v="128764"/>
        <n v="68483"/>
        <n v="92048"/>
        <n v="47224"/>
        <n v="94531"/>
        <n v="73380"/>
        <n v="100739"/>
        <n v="88083"/>
        <n v="94792"/>
        <n v="136489"/>
        <n v="43892"/>
        <n v="116242"/>
        <n v="35101"/>
        <n v="83192"/>
        <n v="149287"/>
        <n v="122404"/>
        <n v="109133"/>
        <n v="28676"/>
        <n v="36146"/>
        <n v="90564"/>
        <n v="130839"/>
        <n v="130837"/>
        <n v="75807"/>
        <n v="138709"/>
        <n v="48486"/>
        <n v="78612"/>
        <n v="59449"/>
        <n v="77334"/>
        <n v="120915"/>
        <n v="117050"/>
        <n v="103784"/>
        <n v="108320"/>
        <n v="37116"/>
        <n v="144616"/>
        <n v="142506"/>
        <n v="83894"/>
        <n v="52494"/>
        <n v="84768"/>
        <n v="96141"/>
        <n v="27153"/>
        <n v="126827"/>
        <n v="127524"/>
        <n v="28440"/>
        <n v="109467"/>
        <n v="38051"/>
        <n v="26512"/>
        <n v="56420"/>
        <n v="100937"/>
        <n v="38195"/>
        <n v="64158"/>
        <n v="45760"/>
        <n v="142777"/>
        <n v="63577"/>
        <n v="101499"/>
        <n v="104599"/>
        <n v="78714"/>
        <n v="57154"/>
        <n v="99379"/>
        <n v="149029"/>
        <n v="60968"/>
        <n v="144490"/>
        <n v="66574"/>
        <n v="144337"/>
        <n v="47307"/>
        <n v="68165"/>
        <n v="108480"/>
        <n v="59578"/>
        <n v="132283"/>
        <n v="75538"/>
        <n v="38377"/>
        <n v="71131"/>
        <n v="60728"/>
        <n v="92976"/>
        <n v="94747"/>
        <n v="47417"/>
        <n v="136747"/>
        <n v="68785"/>
        <n v="30921"/>
        <n v="121313"/>
        <n v="126518"/>
        <n v="90251"/>
        <n v="113971"/>
        <n v="30387"/>
        <n v="90395"/>
        <n v="84488"/>
        <n v="43051"/>
        <n v="53686"/>
        <n v="47715"/>
        <n v="63972"/>
        <n v="118401"/>
        <n v="105636"/>
        <n v="41506"/>
        <n v="37766"/>
        <n v="98668"/>
        <n v="25004"/>
        <n v="32294"/>
        <n v="132288"/>
        <n v="112516"/>
        <n v="26444"/>
        <n v="45750"/>
        <n v="119268"/>
        <n v="117864"/>
        <n v="28869"/>
        <n v="120441"/>
        <n v="104499"/>
        <n v="89369"/>
        <n v="131169"/>
        <n v="90647"/>
        <n v="40456"/>
        <n v="34801"/>
        <n v="147804"/>
        <n v="132054"/>
        <n v="146813"/>
        <n v="64769"/>
        <n v="116925"/>
        <n v="37057"/>
        <n v="30730"/>
        <n v="147994"/>
        <n v="116458"/>
        <n v="64968"/>
        <n v="134618"/>
        <n v="30821"/>
        <n v="145939"/>
        <n v="75870"/>
        <n v="122731"/>
        <n v="60949"/>
        <n v="85650"/>
        <n v="97279"/>
        <n v="110980"/>
        <n v="27112"/>
        <n v="35151"/>
        <n v="78495"/>
        <n v="104827"/>
        <n v="147620"/>
        <n v="82805"/>
        <n v="121049"/>
        <n v="146335"/>
        <n v="91194"/>
        <n v="41567"/>
        <n v="41705"/>
        <n v="121829"/>
        <n v="35982"/>
        <n v="55443"/>
        <n v="81431"/>
        <n v="62811"/>
        <n v="143297"/>
        <n v="93274"/>
        <n v="40264"/>
        <n v="66262"/>
        <n v="74310"/>
        <n v="25419"/>
        <n v="70705"/>
        <n v="88040"/>
        <n v="116353"/>
        <n v="126161"/>
        <n v="69543"/>
        <n v="68212"/>
        <n v="31450"/>
        <n v="53261"/>
        <n v="64513"/>
        <n v="34684"/>
        <n v="137630"/>
        <n v="63173"/>
        <n v="124968"/>
        <n v="43844"/>
        <n v="119769"/>
        <n v="78285"/>
        <n v="145747"/>
        <n v="30119"/>
        <n v="119364"/>
        <n v="104235"/>
        <n v="33788"/>
        <n v="33751"/>
        <n v="73139"/>
        <n v="98880"/>
        <n v="47033"/>
        <n v="92070"/>
        <n v="134923"/>
        <n v="128411"/>
        <n v="105868"/>
        <n v="65683"/>
        <n v="116160"/>
        <n v="73435"/>
        <n v="118138"/>
        <n v="148279"/>
        <n v="30833"/>
        <n v="99471"/>
        <n v="53511"/>
        <n v="43405"/>
        <n v="71550"/>
        <n v="109673"/>
        <n v="92768"/>
        <n v="116919"/>
        <n v="46331"/>
        <n v="103766"/>
        <n v="102735"/>
        <n v="128922"/>
        <n v="49195"/>
        <n v="97067"/>
        <n v="142705"/>
        <n v="141075"/>
        <n v="49637"/>
        <n v="80277"/>
        <n v="41874"/>
        <n v="40198"/>
        <n v="124563"/>
        <n v="31362"/>
        <n v="60027"/>
        <n v="57588"/>
        <n v="99588"/>
        <n v="123207"/>
        <n v="92376"/>
        <n v="127014"/>
        <n v="42008"/>
        <n v="80150"/>
        <n v="136982"/>
        <n v="88771"/>
        <n v="101668"/>
        <n v="42261"/>
        <n v="78545"/>
        <n v="94796"/>
        <n v="94817"/>
        <n v="43162"/>
        <n v="27977"/>
        <n v="67300"/>
        <n v="39569"/>
        <n v="34222"/>
        <n v="133567"/>
        <n v="73033"/>
        <n v="123632"/>
        <n v="93390"/>
        <n v="63650"/>
        <n v="64709"/>
        <n v="93594"/>
        <n v="54468"/>
        <n v="122173"/>
        <n v="129584"/>
        <n v="104840"/>
        <n v="124834"/>
        <n v="38090"/>
        <n v="130613"/>
        <n v="92397"/>
        <n v="88908"/>
        <n v="69883"/>
        <n v="114751"/>
        <n v="111847"/>
        <n v="65138"/>
        <n v="78580"/>
        <n v="67184"/>
        <n v="46026"/>
        <n v="32774"/>
        <n v="133044"/>
        <n v="94602"/>
        <n v="68648"/>
        <n v="129608"/>
        <n v="62047"/>
        <n v="100225"/>
        <n v="48812"/>
        <n v="54521"/>
        <n v="49752"/>
        <n v="139105"/>
        <n v="42997"/>
        <n v="131758"/>
        <n v="50032"/>
        <n v="137393"/>
        <n v="149689"/>
        <n v="86579"/>
        <n v="44841"/>
        <n v="106515"/>
        <n v="45731"/>
        <n v="137317"/>
        <n v="118888"/>
        <n v="35772"/>
        <n v="112602"/>
        <n v="31293"/>
        <n v="49608"/>
        <n v="69204"/>
        <n v="28331"/>
        <n v="148148"/>
        <n v="93888"/>
        <n v="45807"/>
        <n v="76088"/>
        <n v="109683"/>
        <n v="83114"/>
        <n v="111562"/>
        <n v="39789"/>
        <n v="56626"/>
        <n v="91561"/>
        <n v="112245"/>
        <n v="37440"/>
        <n v="29885"/>
        <n v="145674"/>
        <n v="116633"/>
        <n v="105793"/>
        <n v="59692"/>
        <n v="116780"/>
        <n v="44105"/>
        <n v="83004"/>
        <n v="26627"/>
        <n v="136136"/>
        <n v="71802"/>
        <n v="66089"/>
        <n v="82392"/>
        <n v="33359"/>
        <n v="111743"/>
        <n v="101997"/>
        <n v="28864"/>
        <n v="116280"/>
        <n v="77615"/>
        <n v="73909"/>
        <n v="47595"/>
        <n v="91496"/>
        <n v="92959"/>
        <n v="112648"/>
        <n v="136119"/>
        <n v="80878"/>
        <n v="126035"/>
        <n v="28665"/>
        <n v="114277"/>
        <n v="105349"/>
        <n v="133340"/>
        <n v="65598"/>
        <n v="58216"/>
        <n v="49033"/>
        <n v="76761"/>
        <n v="134195"/>
        <n v="120015"/>
        <n v="45066"/>
        <n v="62723"/>
        <n v="30037"/>
        <n v="124899"/>
        <n v="89298"/>
        <n v="120810"/>
        <n v="118151"/>
        <n v="85754"/>
        <n v="127776"/>
        <n v="84286"/>
        <n v="48634"/>
        <n v="66483"/>
        <n v="36239"/>
        <n v="144176"/>
        <n v="79419"/>
        <n v="148915"/>
        <n v="132210"/>
        <n v="34029"/>
        <n v="129768"/>
        <n v="143727"/>
        <n v="97256"/>
        <n v="113067"/>
        <n v="61915"/>
        <n v="48213"/>
        <n v="107067"/>
        <n v="119143"/>
        <n v="117572"/>
        <n v="140104"/>
        <n v="108269"/>
        <n v="110831"/>
        <n v="113347"/>
        <n v="120308"/>
        <n v="47354"/>
        <n v="121712"/>
        <n v="148999"/>
        <n v="61394"/>
        <n v="117539"/>
        <n v="65712"/>
        <n v="87065"/>
        <n v="69663"/>
        <n v="98832"/>
        <n v="33772"/>
        <n v="133113"/>
        <n v="40776"/>
        <n v="51770"/>
        <n v="75072"/>
        <n v="41847"/>
        <n v="107429"/>
        <n v="32321"/>
        <n v="71803"/>
        <n v="132852"/>
        <n v="109266"/>
        <n v="91879"/>
        <n v="89417"/>
        <n v="59818"/>
        <n v="28777"/>
        <n v="124583"/>
        <n v="53417"/>
        <n v="145693"/>
        <n v="137350"/>
        <n v="122235"/>
        <n v="122551"/>
        <n v="60398"/>
        <n v="133848"/>
        <n v="60646"/>
        <n v="72714"/>
        <n v="101049"/>
        <n v="140968"/>
        <n v="69780"/>
        <n v="30502"/>
        <n v="93566"/>
        <n v="142071"/>
      </sharedItems>
    </cacheField>
    <cacheField name="PerformanceRating" numFmtId="0">
      <sharedItems containsSemiMixedTypes="0" containsString="0" containsNumber="1" containsInteger="1" minValue="1" maxValue="5"/>
    </cacheField>
    <cacheField name="JobSatisfaction" numFmtId="0">
      <sharedItems containsSemiMixedTypes="0" containsString="0" containsNumber="1" containsInteger="1" minValue="1" maxValue="5" count="5">
        <n v="5"/>
        <n v="3"/>
        <n v="4"/>
        <n v="1"/>
        <n v="2"/>
      </sharedItems>
    </cacheField>
    <cacheField name="OverTime" numFmtId="0">
      <sharedItems count="2">
        <s v="No"/>
        <s v="Yes"/>
      </sharedItems>
    </cacheField>
    <cacheField name="DistanceFromHome" numFmtId="0">
      <sharedItems containsSemiMixedTypes="0" containsString="0" containsNumber="1" containsInteger="1" minValue="1" maxValue="45"/>
    </cacheField>
    <cacheField name="TenureYears" numFmtId="0">
      <sharedItems containsSemiMixedTypes="0" containsString="0" containsNumber="1" minValue="0.2" maxValue="11.6"/>
    </cacheField>
    <cacheField name="FlightRisk" numFmtId="0">
      <sharedItems/>
    </cacheField>
  </cacheFields>
  <extLst>
    <ext xmlns:x14="http://schemas.microsoft.com/office/spreadsheetml/2009/9/main" uri="{725AE2AE-9491-48be-B2B4-4EB974FC3084}">
      <x14:pivotCacheDefinition pivotCacheId="10760078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s v="Manoj Mehta"/>
    <x v="0"/>
    <s v="Marketing Executive"/>
    <x v="0"/>
    <n v="36"/>
    <s v="Single"/>
    <s v="2016-07-25"/>
    <s v="2019-03-07"/>
    <x v="0"/>
    <x v="0"/>
    <n v="1"/>
    <x v="0"/>
    <x v="0"/>
    <n v="38"/>
    <n v="2.6"/>
    <s v="N/A"/>
  </r>
  <r>
    <x v="1"/>
    <s v="Sunil Gupta"/>
    <x v="1"/>
    <s v="IT Support"/>
    <x v="0"/>
    <n v="56"/>
    <s v="Single"/>
    <s v="2019-09-15"/>
    <m/>
    <x v="1"/>
    <x v="1"/>
    <n v="3"/>
    <x v="0"/>
    <x v="1"/>
    <n v="1"/>
    <n v="6.9"/>
    <s v="Medium"/>
  </r>
  <r>
    <x v="2"/>
    <s v="Karan Reddy"/>
    <x v="2"/>
    <s v="HR Manager"/>
    <x v="0"/>
    <n v="28"/>
    <s v="Single"/>
    <s v="2016-01-15"/>
    <m/>
    <x v="1"/>
    <x v="2"/>
    <n v="3"/>
    <x v="1"/>
    <x v="0"/>
    <n v="39"/>
    <n v="10.6"/>
    <s v="Low"/>
  </r>
  <r>
    <x v="3"/>
    <s v="Anjali Bose"/>
    <x v="3"/>
    <s v="Operations Executive"/>
    <x v="1"/>
    <n v="40"/>
    <s v="Single"/>
    <s v="2024-04-20"/>
    <s v="2025-02-07"/>
    <x v="0"/>
    <x v="3"/>
    <n v="5"/>
    <x v="1"/>
    <x v="0"/>
    <n v="13"/>
    <n v="0.8"/>
    <s v="N/A"/>
  </r>
  <r>
    <x v="4"/>
    <s v="Suresh Chopra"/>
    <x v="2"/>
    <s v="HR Executive"/>
    <x v="0"/>
    <n v="39"/>
    <s v="Single"/>
    <s v="2020-02-01"/>
    <m/>
    <x v="1"/>
    <x v="4"/>
    <n v="2"/>
    <x v="1"/>
    <x v="0"/>
    <n v="24"/>
    <n v="6.5"/>
    <s v="Low"/>
  </r>
  <r>
    <x v="5"/>
    <s v="Ashok Joshi"/>
    <x v="0"/>
    <s v="Content Specialist"/>
    <x v="0"/>
    <n v="56"/>
    <s v="Divorced"/>
    <s v="2023-03-06"/>
    <m/>
    <x v="1"/>
    <x v="5"/>
    <n v="4"/>
    <x v="2"/>
    <x v="1"/>
    <n v="18"/>
    <n v="3.4"/>
    <s v="Medium"/>
  </r>
  <r>
    <x v="6"/>
    <s v="Neha Mehta"/>
    <x v="1"/>
    <s v="IT Support"/>
    <x v="1"/>
    <n v="24"/>
    <s v="Divorced"/>
    <s v="2024-01-11"/>
    <m/>
    <x v="1"/>
    <x v="6"/>
    <n v="1"/>
    <x v="1"/>
    <x v="1"/>
    <n v="14"/>
    <n v="2.6"/>
    <s v="Medium"/>
  </r>
  <r>
    <x v="7"/>
    <s v="Swati Kapoor"/>
    <x v="2"/>
    <s v="HR Executive"/>
    <x v="1"/>
    <n v="31"/>
    <s v="Divorced"/>
    <s v="2017-12-20"/>
    <m/>
    <x v="1"/>
    <x v="7"/>
    <n v="5"/>
    <x v="0"/>
    <x v="1"/>
    <n v="17"/>
    <n v="8.6"/>
    <s v="Medium"/>
  </r>
  <r>
    <x v="8"/>
    <s v="Divya Singh"/>
    <x v="3"/>
    <s v="Operations Manager"/>
    <x v="1"/>
    <n v="54"/>
    <s v="Single"/>
    <s v="2020-07-14"/>
    <m/>
    <x v="1"/>
    <x v="8"/>
    <n v="1"/>
    <x v="3"/>
    <x v="1"/>
    <n v="10"/>
    <n v="6.1"/>
    <s v="High"/>
  </r>
  <r>
    <x v="9"/>
    <s v="Nikhil Chopra"/>
    <x v="4"/>
    <s v="Finance Manager"/>
    <x v="0"/>
    <n v="51"/>
    <s v="Single"/>
    <s v="2020-12-07"/>
    <m/>
    <x v="1"/>
    <x v="9"/>
    <n v="1"/>
    <x v="0"/>
    <x v="1"/>
    <n v="44"/>
    <n v="5.7"/>
    <s v="Medium"/>
  </r>
  <r>
    <x v="10"/>
    <s v="Pooja Nair"/>
    <x v="3"/>
    <s v="Operations Manager"/>
    <x v="1"/>
    <n v="49"/>
    <s v="Single"/>
    <s v="2016-10-09"/>
    <m/>
    <x v="1"/>
    <x v="10"/>
    <n v="5"/>
    <x v="1"/>
    <x v="0"/>
    <n v="12"/>
    <n v="9.8000000000000007"/>
    <s v="Low"/>
  </r>
  <r>
    <x v="11"/>
    <s v="Arjun Iyer"/>
    <x v="2"/>
    <s v="Recruiter"/>
    <x v="0"/>
    <n v="32"/>
    <s v="Married"/>
    <s v="2021-01-18"/>
    <s v="2026-06-03"/>
    <x v="0"/>
    <x v="11"/>
    <n v="1"/>
    <x v="0"/>
    <x v="0"/>
    <n v="39"/>
    <n v="5.4"/>
    <s v="N/A"/>
  </r>
  <r>
    <x v="12"/>
    <s v="Amit Mehta"/>
    <x v="2"/>
    <s v="HR Manager"/>
    <x v="0"/>
    <n v="58"/>
    <s v="Single"/>
    <s v="2015-11-19"/>
    <s v="2021-05-17"/>
    <x v="0"/>
    <x v="12"/>
    <n v="1"/>
    <x v="2"/>
    <x v="1"/>
    <n v="35"/>
    <n v="5.5"/>
    <s v="N/A"/>
  </r>
  <r>
    <x v="13"/>
    <s v="Payal Bhatt"/>
    <x v="3"/>
    <s v="Operations Executive"/>
    <x v="1"/>
    <n v="49"/>
    <s v="Divorced"/>
    <s v="2017-05-17"/>
    <m/>
    <x v="1"/>
    <x v="13"/>
    <n v="3"/>
    <x v="4"/>
    <x v="0"/>
    <n v="26"/>
    <n v="9.1999999999999993"/>
    <s v="Medium"/>
  </r>
  <r>
    <x v="14"/>
    <s v="Sanjay Mehta"/>
    <x v="3"/>
    <s v="Operations Manager"/>
    <x v="0"/>
    <n v="26"/>
    <s v="Single"/>
    <s v="2018-10-16"/>
    <s v="2026-01-11"/>
    <x v="0"/>
    <x v="14"/>
    <n v="2"/>
    <x v="0"/>
    <x v="1"/>
    <n v="38"/>
    <n v="7.2"/>
    <s v="N/A"/>
  </r>
  <r>
    <x v="15"/>
    <s v="Amit Reddy"/>
    <x v="5"/>
    <s v="Sales Executive"/>
    <x v="0"/>
    <n v="26"/>
    <s v="Divorced"/>
    <s v="2020-10-06"/>
    <m/>
    <x v="1"/>
    <x v="15"/>
    <n v="2"/>
    <x v="2"/>
    <x v="1"/>
    <n v="35"/>
    <n v="5.8"/>
    <s v="Medium"/>
  </r>
  <r>
    <x v="16"/>
    <s v="Divya Das"/>
    <x v="3"/>
    <s v="Logistics Coordinator"/>
    <x v="1"/>
    <n v="48"/>
    <s v="Married"/>
    <s v="2017-02-18"/>
    <m/>
    <x v="1"/>
    <x v="16"/>
    <n v="3"/>
    <x v="2"/>
    <x v="1"/>
    <n v="28"/>
    <n v="9.5"/>
    <s v="Medium"/>
  </r>
  <r>
    <x v="17"/>
    <s v="Amit Chopra"/>
    <x v="5"/>
    <s v="Account Manager"/>
    <x v="0"/>
    <n v="43"/>
    <s v="Married"/>
    <s v="2023-12-24"/>
    <s v="2024-08-27"/>
    <x v="0"/>
    <x v="17"/>
    <n v="2"/>
    <x v="4"/>
    <x v="0"/>
    <n v="13"/>
    <n v="0.7"/>
    <s v="N/A"/>
  </r>
  <r>
    <x v="18"/>
    <s v="Vikram Kapoor"/>
    <x v="2"/>
    <s v="HR Manager"/>
    <x v="0"/>
    <n v="57"/>
    <s v="Single"/>
    <s v="2016-02-06"/>
    <s v="2021-09-16"/>
    <x v="0"/>
    <x v="18"/>
    <n v="1"/>
    <x v="0"/>
    <x v="1"/>
    <n v="6"/>
    <n v="5.6"/>
    <s v="N/A"/>
  </r>
  <r>
    <x v="19"/>
    <s v="Neha Joshi"/>
    <x v="4"/>
    <s v="Financial Analyst"/>
    <x v="1"/>
    <n v="46"/>
    <s v="Divorced"/>
    <s v="2015-01-09"/>
    <m/>
    <x v="1"/>
    <x v="19"/>
    <n v="4"/>
    <x v="1"/>
    <x v="0"/>
    <n v="19"/>
    <n v="11.6"/>
    <s v="Low"/>
  </r>
  <r>
    <x v="20"/>
    <s v="Sneha Gupta"/>
    <x v="3"/>
    <s v="Logistics Coordinator"/>
    <x v="1"/>
    <n v="40"/>
    <s v="Married"/>
    <s v="2017-06-10"/>
    <s v="2024-02-26"/>
    <x v="0"/>
    <x v="20"/>
    <n v="5"/>
    <x v="0"/>
    <x v="0"/>
    <n v="4"/>
    <n v="6.7"/>
    <s v="N/A"/>
  </r>
  <r>
    <x v="21"/>
    <s v="Amit Pillai"/>
    <x v="4"/>
    <s v="Finance Manager"/>
    <x v="0"/>
    <n v="27"/>
    <s v="Single"/>
    <s v="2024-07-19"/>
    <m/>
    <x v="1"/>
    <x v="21"/>
    <n v="1"/>
    <x v="0"/>
    <x v="1"/>
    <n v="44"/>
    <n v="2.1"/>
    <s v="Medium"/>
  </r>
  <r>
    <x v="22"/>
    <s v="Ashok Patel"/>
    <x v="3"/>
    <s v="Operations Executive"/>
    <x v="0"/>
    <n v="48"/>
    <s v="Divorced"/>
    <s v="2022-05-16"/>
    <m/>
    <x v="1"/>
    <x v="22"/>
    <n v="3"/>
    <x v="0"/>
    <x v="0"/>
    <n v="17"/>
    <n v="4.2"/>
    <s v="Low"/>
  </r>
  <r>
    <x v="23"/>
    <s v="Sneha Nair"/>
    <x v="1"/>
    <s v="System Analyst"/>
    <x v="1"/>
    <n v="51"/>
    <s v="Divorced"/>
    <s v="2018-07-19"/>
    <m/>
    <x v="1"/>
    <x v="23"/>
    <n v="1"/>
    <x v="3"/>
    <x v="0"/>
    <n v="30"/>
    <n v="8.1"/>
    <s v="Medium"/>
  </r>
  <r>
    <x v="24"/>
    <s v="Rajesh Rao"/>
    <x v="5"/>
    <s v="Account Manager"/>
    <x v="0"/>
    <n v="30"/>
    <s v="Single"/>
    <s v="2025-06-19"/>
    <s v="2026-05-23"/>
    <x v="0"/>
    <x v="24"/>
    <n v="2"/>
    <x v="3"/>
    <x v="1"/>
    <n v="24"/>
    <n v="0.9"/>
    <s v="N/A"/>
  </r>
  <r>
    <x v="25"/>
    <s v="Sunil Nair"/>
    <x v="0"/>
    <s v="Marketing Manager"/>
    <x v="0"/>
    <n v="28"/>
    <s v="Married"/>
    <s v="2024-11-05"/>
    <s v="2025-08-07"/>
    <x v="0"/>
    <x v="25"/>
    <n v="1"/>
    <x v="3"/>
    <x v="1"/>
    <n v="36"/>
    <n v="0.8"/>
    <s v="N/A"/>
  </r>
  <r>
    <x v="26"/>
    <s v="Manoj Pillai"/>
    <x v="0"/>
    <s v="Marketing Manager"/>
    <x v="0"/>
    <n v="53"/>
    <s v="Married"/>
    <s v="2017-10-25"/>
    <s v="2021-09-20"/>
    <x v="0"/>
    <x v="26"/>
    <n v="1"/>
    <x v="3"/>
    <x v="0"/>
    <n v="41"/>
    <n v="3.9"/>
    <s v="N/A"/>
  </r>
  <r>
    <x v="27"/>
    <s v="Kavita Kapoor"/>
    <x v="1"/>
    <s v="IT Support"/>
    <x v="1"/>
    <n v="57"/>
    <s v="Divorced"/>
    <s v="2022-11-30"/>
    <m/>
    <x v="1"/>
    <x v="27"/>
    <n v="1"/>
    <x v="3"/>
    <x v="0"/>
    <n v="5"/>
    <n v="3.7"/>
    <s v="Medium"/>
  </r>
  <r>
    <x v="28"/>
    <s v="Seema Bose"/>
    <x v="3"/>
    <s v="Operations Executive"/>
    <x v="1"/>
    <n v="31"/>
    <s v="Married"/>
    <s v="2019-10-27"/>
    <s v="2022-10-13"/>
    <x v="0"/>
    <x v="28"/>
    <n v="3"/>
    <x v="1"/>
    <x v="1"/>
    <n v="3"/>
    <n v="3"/>
    <s v="N/A"/>
  </r>
  <r>
    <x v="29"/>
    <s v="Ritu Malhotra"/>
    <x v="0"/>
    <s v="Marketing Executive"/>
    <x v="1"/>
    <n v="31"/>
    <s v="Single"/>
    <s v="2025-05-19"/>
    <m/>
    <x v="1"/>
    <x v="29"/>
    <n v="2"/>
    <x v="4"/>
    <x v="0"/>
    <n v="27"/>
    <n v="1.2"/>
    <s v="Medium"/>
  </r>
  <r>
    <x v="30"/>
    <s v="Manoj Joshi"/>
    <x v="2"/>
    <s v="HR Manager"/>
    <x v="0"/>
    <n v="28"/>
    <s v="Married"/>
    <s v="2019-04-16"/>
    <m/>
    <x v="1"/>
    <x v="30"/>
    <n v="2"/>
    <x v="2"/>
    <x v="0"/>
    <n v="13"/>
    <n v="7.3"/>
    <s v="Low"/>
  </r>
  <r>
    <x v="31"/>
    <s v="Karan Chopra"/>
    <x v="1"/>
    <s v="Software Engineer"/>
    <x v="0"/>
    <n v="43"/>
    <s v="Married"/>
    <s v="2018-02-15"/>
    <m/>
    <x v="1"/>
    <x v="31"/>
    <n v="3"/>
    <x v="1"/>
    <x v="0"/>
    <n v="42"/>
    <n v="8.5"/>
    <s v="Low"/>
  </r>
  <r>
    <x v="32"/>
    <s v="Suresh Rao"/>
    <x v="3"/>
    <s v="Operations Manager"/>
    <x v="0"/>
    <n v="33"/>
    <s v="Married"/>
    <s v="2021-07-06"/>
    <m/>
    <x v="1"/>
    <x v="32"/>
    <n v="1"/>
    <x v="1"/>
    <x v="0"/>
    <n v="7"/>
    <n v="5.0999999999999996"/>
    <s v="Low"/>
  </r>
  <r>
    <x v="33"/>
    <s v="Nikhil Chauhan"/>
    <x v="2"/>
    <s v="HR Manager"/>
    <x v="0"/>
    <n v="34"/>
    <s v="Divorced"/>
    <s v="2017-11-09"/>
    <m/>
    <x v="1"/>
    <x v="33"/>
    <n v="1"/>
    <x v="2"/>
    <x v="1"/>
    <n v="34"/>
    <n v="8.6999999999999993"/>
    <s v="Medium"/>
  </r>
  <r>
    <x v="34"/>
    <s v="Ajay Malhotra"/>
    <x v="0"/>
    <s v="Content Specialist"/>
    <x v="0"/>
    <n v="26"/>
    <s v="Single"/>
    <s v="2022-06-13"/>
    <m/>
    <x v="1"/>
    <x v="34"/>
    <n v="3"/>
    <x v="0"/>
    <x v="0"/>
    <n v="43"/>
    <n v="4.2"/>
    <s v="Low"/>
  </r>
  <r>
    <x v="35"/>
    <s v="Nisha Reddy"/>
    <x v="2"/>
    <s v="Recruiter"/>
    <x v="1"/>
    <n v="47"/>
    <s v="Married"/>
    <s v="2022-10-26"/>
    <m/>
    <x v="1"/>
    <x v="35"/>
    <n v="2"/>
    <x v="4"/>
    <x v="1"/>
    <n v="27"/>
    <n v="3.8"/>
    <s v="High"/>
  </r>
  <r>
    <x v="36"/>
    <s v="Swati Bose"/>
    <x v="1"/>
    <s v="IT Support"/>
    <x v="1"/>
    <n v="22"/>
    <s v="Married"/>
    <s v="2018-05-29"/>
    <m/>
    <x v="1"/>
    <x v="36"/>
    <n v="5"/>
    <x v="2"/>
    <x v="1"/>
    <n v="39"/>
    <n v="8.1999999999999993"/>
    <s v="Medium"/>
  </r>
  <r>
    <x v="37"/>
    <s v="Rajesh Das"/>
    <x v="4"/>
    <s v="Finance Manager"/>
    <x v="0"/>
    <n v="32"/>
    <s v="Single"/>
    <s v="2022-05-22"/>
    <m/>
    <x v="1"/>
    <x v="37"/>
    <n v="5"/>
    <x v="0"/>
    <x v="1"/>
    <n v="22"/>
    <n v="4.2"/>
    <s v="Medium"/>
  </r>
  <r>
    <x v="38"/>
    <s v="Rahul Verma"/>
    <x v="1"/>
    <s v="Software Engineer"/>
    <x v="0"/>
    <n v="37"/>
    <s v="Divorced"/>
    <s v="2020-04-30"/>
    <m/>
    <x v="1"/>
    <x v="38"/>
    <n v="4"/>
    <x v="3"/>
    <x v="0"/>
    <n v="27"/>
    <n v="6.3"/>
    <s v="Medium"/>
  </r>
  <r>
    <x v="39"/>
    <s v="Komal Chopra"/>
    <x v="0"/>
    <s v="Content Specialist"/>
    <x v="1"/>
    <n v="37"/>
    <s v="Single"/>
    <s v="2016-08-27"/>
    <m/>
    <x v="1"/>
    <x v="39"/>
    <n v="1"/>
    <x v="3"/>
    <x v="0"/>
    <n v="28"/>
    <n v="10"/>
    <s v="Medium"/>
  </r>
  <r>
    <x v="40"/>
    <s v="Neha Bose"/>
    <x v="0"/>
    <s v="Content Specialist"/>
    <x v="1"/>
    <n v="37"/>
    <s v="Divorced"/>
    <s v="2025-04-15"/>
    <m/>
    <x v="1"/>
    <x v="40"/>
    <n v="2"/>
    <x v="2"/>
    <x v="0"/>
    <n v="30"/>
    <n v="1.3"/>
    <s v="Low"/>
  </r>
  <r>
    <x v="41"/>
    <s v="Nidhi Pillai"/>
    <x v="3"/>
    <s v="Operations Manager"/>
    <x v="1"/>
    <n v="49"/>
    <s v="Married"/>
    <s v="2024-04-25"/>
    <m/>
    <x v="1"/>
    <x v="41"/>
    <n v="2"/>
    <x v="2"/>
    <x v="0"/>
    <n v="31"/>
    <n v="2.2999999999999998"/>
    <s v="Low"/>
  </r>
  <r>
    <x v="42"/>
    <s v="Divya Rao"/>
    <x v="0"/>
    <s v="Marketing Manager"/>
    <x v="1"/>
    <n v="50"/>
    <s v="Divorced"/>
    <s v="2015-11-14"/>
    <s v="2017-09-21"/>
    <x v="0"/>
    <x v="42"/>
    <n v="3"/>
    <x v="4"/>
    <x v="0"/>
    <n v="22"/>
    <n v="1.9"/>
    <s v="N/A"/>
  </r>
  <r>
    <x v="43"/>
    <s v="Karan Patel"/>
    <x v="1"/>
    <s v="System Analyst"/>
    <x v="0"/>
    <n v="48"/>
    <s v="Married"/>
    <s v="2019-07-28"/>
    <m/>
    <x v="1"/>
    <x v="43"/>
    <n v="4"/>
    <x v="2"/>
    <x v="1"/>
    <n v="4"/>
    <n v="7"/>
    <s v="Medium"/>
  </r>
  <r>
    <x v="44"/>
    <s v="Prakash Chopra"/>
    <x v="3"/>
    <s v="Logistics Coordinator"/>
    <x v="0"/>
    <n v="52"/>
    <s v="Divorced"/>
    <s v="2015-01-25"/>
    <m/>
    <x v="1"/>
    <x v="44"/>
    <n v="4"/>
    <x v="1"/>
    <x v="0"/>
    <n v="27"/>
    <n v="11.5"/>
    <s v="Low"/>
  </r>
  <r>
    <x v="45"/>
    <s v="Divya Rao"/>
    <x v="3"/>
    <s v="Operations Executive"/>
    <x v="1"/>
    <n v="49"/>
    <s v="Married"/>
    <s v="2020-06-12"/>
    <m/>
    <x v="1"/>
    <x v="45"/>
    <n v="4"/>
    <x v="1"/>
    <x v="1"/>
    <n v="11"/>
    <n v="6.2"/>
    <s v="Medium"/>
  </r>
  <r>
    <x v="46"/>
    <s v="Nikhil Chauhan"/>
    <x v="3"/>
    <s v="Logistics Coordinator"/>
    <x v="0"/>
    <n v="58"/>
    <s v="Single"/>
    <s v="2022-06-08"/>
    <s v="2024-06-07"/>
    <x v="0"/>
    <x v="46"/>
    <n v="2"/>
    <x v="2"/>
    <x v="1"/>
    <n v="30"/>
    <n v="2"/>
    <s v="N/A"/>
  </r>
  <r>
    <x v="47"/>
    <s v="Rekha Chopra"/>
    <x v="1"/>
    <s v="System Analyst"/>
    <x v="1"/>
    <n v="39"/>
    <s v="Single"/>
    <s v="2023-06-08"/>
    <m/>
    <x v="1"/>
    <x v="47"/>
    <n v="3"/>
    <x v="2"/>
    <x v="0"/>
    <n v="6"/>
    <n v="3.2"/>
    <s v="Low"/>
  </r>
  <r>
    <x v="48"/>
    <s v="Vikram Verma"/>
    <x v="5"/>
    <s v="Sales Manager"/>
    <x v="0"/>
    <n v="23"/>
    <s v="Single"/>
    <s v="2017-10-09"/>
    <m/>
    <x v="1"/>
    <x v="48"/>
    <n v="5"/>
    <x v="3"/>
    <x v="1"/>
    <n v="10"/>
    <n v="8.8000000000000007"/>
    <s v="High"/>
  </r>
  <r>
    <x v="49"/>
    <s v="Vivek Rao"/>
    <x v="5"/>
    <s v="Account Manager"/>
    <x v="0"/>
    <n v="45"/>
    <s v="Divorced"/>
    <s v="2016-11-18"/>
    <s v="2020-07-17"/>
    <x v="0"/>
    <x v="49"/>
    <n v="2"/>
    <x v="3"/>
    <x v="0"/>
    <n v="20"/>
    <n v="3.7"/>
    <s v="N/A"/>
  </r>
  <r>
    <x v="50"/>
    <s v="Swati Gupta"/>
    <x v="3"/>
    <s v="Logistics Coordinator"/>
    <x v="1"/>
    <n v="26"/>
    <s v="Married"/>
    <s v="2021-08-22"/>
    <m/>
    <x v="1"/>
    <x v="50"/>
    <n v="1"/>
    <x v="4"/>
    <x v="0"/>
    <n v="45"/>
    <n v="5"/>
    <s v="Medium"/>
  </r>
  <r>
    <x v="51"/>
    <s v="Ajay Bose"/>
    <x v="3"/>
    <s v="Operations Executive"/>
    <x v="0"/>
    <n v="49"/>
    <s v="Married"/>
    <s v="2022-06-02"/>
    <m/>
    <x v="1"/>
    <x v="51"/>
    <n v="3"/>
    <x v="0"/>
    <x v="0"/>
    <n v="1"/>
    <n v="4.2"/>
    <s v="Low"/>
  </r>
  <r>
    <x v="52"/>
    <s v="Rita Singh"/>
    <x v="5"/>
    <s v="Sales Manager"/>
    <x v="1"/>
    <n v="49"/>
    <s v="Married"/>
    <s v="2016-12-22"/>
    <m/>
    <x v="1"/>
    <x v="52"/>
    <n v="5"/>
    <x v="1"/>
    <x v="0"/>
    <n v="35"/>
    <n v="9.6"/>
    <s v="Low"/>
  </r>
  <r>
    <x v="53"/>
    <s v="Rekha Mehta"/>
    <x v="0"/>
    <s v="Content Specialist"/>
    <x v="1"/>
    <n v="27"/>
    <s v="Divorced"/>
    <s v="2018-02-16"/>
    <m/>
    <x v="1"/>
    <x v="53"/>
    <n v="4"/>
    <x v="4"/>
    <x v="0"/>
    <n v="37"/>
    <n v="8.5"/>
    <s v="Medium"/>
  </r>
  <r>
    <x v="54"/>
    <s v="Kavita Das"/>
    <x v="5"/>
    <s v="Sales Manager"/>
    <x v="1"/>
    <n v="35"/>
    <s v="Married"/>
    <s v="2018-12-24"/>
    <m/>
    <x v="1"/>
    <x v="54"/>
    <n v="3"/>
    <x v="1"/>
    <x v="0"/>
    <n v="39"/>
    <n v="7.6"/>
    <s v="Low"/>
  </r>
  <r>
    <x v="55"/>
    <s v="Sanjay Malhotra"/>
    <x v="3"/>
    <s v="Operations Executive"/>
    <x v="0"/>
    <n v="53"/>
    <s v="Single"/>
    <s v="2021-03-24"/>
    <s v="2022-08-19"/>
    <x v="0"/>
    <x v="55"/>
    <n v="4"/>
    <x v="2"/>
    <x v="0"/>
    <n v="29"/>
    <n v="1.4"/>
    <s v="N/A"/>
  </r>
  <r>
    <x v="56"/>
    <s v="Deepak Chauhan"/>
    <x v="4"/>
    <s v="Finance Manager"/>
    <x v="0"/>
    <n v="45"/>
    <s v="Married"/>
    <s v="2020-04-22"/>
    <m/>
    <x v="1"/>
    <x v="56"/>
    <n v="4"/>
    <x v="1"/>
    <x v="0"/>
    <n v="36"/>
    <n v="6.3"/>
    <s v="Low"/>
  </r>
  <r>
    <x v="57"/>
    <s v="Divya Kumar"/>
    <x v="2"/>
    <s v="HR Manager"/>
    <x v="1"/>
    <n v="34"/>
    <s v="Divorced"/>
    <s v="2018-07-16"/>
    <m/>
    <x v="1"/>
    <x v="57"/>
    <n v="2"/>
    <x v="0"/>
    <x v="1"/>
    <n v="13"/>
    <n v="8.1"/>
    <s v="Medium"/>
  </r>
  <r>
    <x v="58"/>
    <s v="Pooja Gupta"/>
    <x v="0"/>
    <s v="Content Specialist"/>
    <x v="1"/>
    <n v="40"/>
    <s v="Married"/>
    <s v="2017-07-20"/>
    <s v="2018-04-29"/>
    <x v="0"/>
    <x v="58"/>
    <n v="1"/>
    <x v="1"/>
    <x v="0"/>
    <n v="35"/>
    <n v="0.8"/>
    <s v="N/A"/>
  </r>
  <r>
    <x v="59"/>
    <s v="Gaurav Kumar"/>
    <x v="3"/>
    <s v="Operations Manager"/>
    <x v="0"/>
    <n v="22"/>
    <s v="Single"/>
    <s v="2021-06-09"/>
    <s v="2026-06-07"/>
    <x v="0"/>
    <x v="59"/>
    <n v="4"/>
    <x v="2"/>
    <x v="1"/>
    <n v="22"/>
    <n v="5"/>
    <s v="N/A"/>
  </r>
  <r>
    <x v="60"/>
    <s v="Nikhil Das"/>
    <x v="4"/>
    <s v="Financial Analyst"/>
    <x v="0"/>
    <n v="26"/>
    <s v="Divorced"/>
    <s v="2021-06-21"/>
    <m/>
    <x v="1"/>
    <x v="60"/>
    <n v="2"/>
    <x v="3"/>
    <x v="0"/>
    <n v="10"/>
    <n v="5.0999999999999996"/>
    <s v="Medium"/>
  </r>
  <r>
    <x v="61"/>
    <s v="Sunil Malhotra"/>
    <x v="5"/>
    <s v="Sales Executive"/>
    <x v="0"/>
    <n v="36"/>
    <s v="Divorced"/>
    <s v="2023-09-13"/>
    <m/>
    <x v="1"/>
    <x v="61"/>
    <n v="4"/>
    <x v="2"/>
    <x v="0"/>
    <n v="20"/>
    <n v="2.9"/>
    <s v="Low"/>
  </r>
  <r>
    <x v="62"/>
    <s v="Ashok Kumar"/>
    <x v="2"/>
    <s v="Recruiter"/>
    <x v="0"/>
    <n v="35"/>
    <s v="Divorced"/>
    <s v="2022-01-06"/>
    <s v="2022-03-12"/>
    <x v="0"/>
    <x v="62"/>
    <n v="2"/>
    <x v="3"/>
    <x v="1"/>
    <n v="16"/>
    <n v="0.2"/>
    <s v="N/A"/>
  </r>
  <r>
    <x v="63"/>
    <s v="Anita Verma"/>
    <x v="4"/>
    <s v="Accountant"/>
    <x v="1"/>
    <n v="36"/>
    <s v="Married"/>
    <s v="2018-03-26"/>
    <m/>
    <x v="1"/>
    <x v="63"/>
    <n v="1"/>
    <x v="2"/>
    <x v="0"/>
    <n v="44"/>
    <n v="8.4"/>
    <s v="Low"/>
  </r>
  <r>
    <x v="64"/>
    <s v="Ravi Kumar"/>
    <x v="0"/>
    <s v="Content Specialist"/>
    <x v="0"/>
    <n v="56"/>
    <s v="Single"/>
    <s v="2017-07-09"/>
    <m/>
    <x v="1"/>
    <x v="64"/>
    <n v="2"/>
    <x v="1"/>
    <x v="0"/>
    <n v="5"/>
    <n v="9.1"/>
    <s v="Low"/>
  </r>
  <r>
    <x v="65"/>
    <s v="Rita Kumar"/>
    <x v="3"/>
    <s v="Logistics Coordinator"/>
    <x v="1"/>
    <n v="51"/>
    <s v="Married"/>
    <s v="2022-09-21"/>
    <m/>
    <x v="1"/>
    <x v="65"/>
    <n v="3"/>
    <x v="2"/>
    <x v="1"/>
    <n v="33"/>
    <n v="3.9"/>
    <s v="Medium"/>
  </r>
  <r>
    <x v="66"/>
    <s v="Rekha Bhatt"/>
    <x v="3"/>
    <s v="Operations Executive"/>
    <x v="1"/>
    <n v="38"/>
    <s v="Divorced"/>
    <s v="2015-04-16"/>
    <m/>
    <x v="1"/>
    <x v="66"/>
    <n v="5"/>
    <x v="0"/>
    <x v="1"/>
    <n v="2"/>
    <n v="11.3"/>
    <s v="Medium"/>
  </r>
  <r>
    <x v="67"/>
    <s v="Gaurav Pillai"/>
    <x v="3"/>
    <s v="Operations Executive"/>
    <x v="0"/>
    <n v="50"/>
    <s v="Married"/>
    <s v="2025-04-10"/>
    <m/>
    <x v="1"/>
    <x v="67"/>
    <n v="4"/>
    <x v="0"/>
    <x v="1"/>
    <n v="41"/>
    <n v="1.3"/>
    <s v="Medium"/>
  </r>
  <r>
    <x v="68"/>
    <s v="Rekha Reddy"/>
    <x v="4"/>
    <s v="Accountant"/>
    <x v="1"/>
    <n v="28"/>
    <s v="Married"/>
    <s v="2024-08-14"/>
    <m/>
    <x v="1"/>
    <x v="68"/>
    <n v="4"/>
    <x v="2"/>
    <x v="1"/>
    <n v="19"/>
    <n v="2"/>
    <s v="Medium"/>
  </r>
  <r>
    <x v="69"/>
    <s v="Anjali Reddy"/>
    <x v="3"/>
    <s v="Operations Executive"/>
    <x v="1"/>
    <n v="38"/>
    <s v="Divorced"/>
    <s v="2018-08-17"/>
    <m/>
    <x v="1"/>
    <x v="69"/>
    <n v="5"/>
    <x v="2"/>
    <x v="1"/>
    <n v="1"/>
    <n v="8"/>
    <s v="Medium"/>
  </r>
  <r>
    <x v="70"/>
    <s v="Nidhi Das"/>
    <x v="5"/>
    <s v="Sales Executive"/>
    <x v="1"/>
    <n v="50"/>
    <s v="Married"/>
    <s v="2023-07-10"/>
    <m/>
    <x v="1"/>
    <x v="70"/>
    <n v="5"/>
    <x v="1"/>
    <x v="1"/>
    <n v="9"/>
    <n v="3.1"/>
    <s v="Medium"/>
  </r>
  <r>
    <x v="71"/>
    <s v="Rahul Bhatt"/>
    <x v="0"/>
    <s v="Marketing Manager"/>
    <x v="0"/>
    <n v="37"/>
    <s v="Single"/>
    <s v="2022-12-17"/>
    <s v="2023-10-05"/>
    <x v="0"/>
    <x v="71"/>
    <n v="1"/>
    <x v="0"/>
    <x v="1"/>
    <n v="36"/>
    <n v="0.8"/>
    <s v="N/A"/>
  </r>
  <r>
    <x v="72"/>
    <s v="Gaurav Nair"/>
    <x v="4"/>
    <s v="Financial Analyst"/>
    <x v="0"/>
    <n v="54"/>
    <s v="Divorced"/>
    <s v="2022-11-29"/>
    <s v="2024-02-22"/>
    <x v="0"/>
    <x v="72"/>
    <n v="4"/>
    <x v="2"/>
    <x v="1"/>
    <n v="16"/>
    <n v="1.2"/>
    <s v="N/A"/>
  </r>
  <r>
    <x v="73"/>
    <s v="Vikram Rao"/>
    <x v="3"/>
    <s v="Logistics Coordinator"/>
    <x v="0"/>
    <n v="48"/>
    <s v="Divorced"/>
    <s v="2018-10-24"/>
    <m/>
    <x v="1"/>
    <x v="73"/>
    <n v="3"/>
    <x v="0"/>
    <x v="0"/>
    <n v="1"/>
    <n v="7.8"/>
    <s v="Low"/>
  </r>
  <r>
    <x v="74"/>
    <s v="Sneha Kapoor"/>
    <x v="3"/>
    <s v="Logistics Coordinator"/>
    <x v="1"/>
    <n v="56"/>
    <s v="Married"/>
    <s v="2020-06-06"/>
    <m/>
    <x v="1"/>
    <x v="74"/>
    <n v="5"/>
    <x v="0"/>
    <x v="1"/>
    <n v="25"/>
    <n v="6.2"/>
    <s v="Medium"/>
  </r>
  <r>
    <x v="75"/>
    <s v="Divya Malhotra"/>
    <x v="0"/>
    <s v="Marketing Executive"/>
    <x v="1"/>
    <n v="24"/>
    <s v="Divorced"/>
    <s v="2018-07-27"/>
    <m/>
    <x v="1"/>
    <x v="75"/>
    <n v="4"/>
    <x v="2"/>
    <x v="0"/>
    <n v="43"/>
    <n v="8"/>
    <s v="Low"/>
  </r>
  <r>
    <x v="76"/>
    <s v="Rajesh Chauhan"/>
    <x v="4"/>
    <s v="Financial Analyst"/>
    <x v="0"/>
    <n v="43"/>
    <s v="Married"/>
    <s v="2024-10-02"/>
    <s v="2025-04-27"/>
    <x v="0"/>
    <x v="76"/>
    <n v="1"/>
    <x v="2"/>
    <x v="1"/>
    <n v="34"/>
    <n v="0.6"/>
    <s v="N/A"/>
  </r>
  <r>
    <x v="77"/>
    <s v="Vikram Das"/>
    <x v="4"/>
    <s v="Finance Manager"/>
    <x v="0"/>
    <n v="38"/>
    <s v="Divorced"/>
    <s v="2018-10-18"/>
    <m/>
    <x v="1"/>
    <x v="77"/>
    <n v="1"/>
    <x v="2"/>
    <x v="0"/>
    <n v="22"/>
    <n v="7.8"/>
    <s v="Low"/>
  </r>
  <r>
    <x v="78"/>
    <s v="Ritu Verma"/>
    <x v="4"/>
    <s v="Accountant"/>
    <x v="1"/>
    <n v="26"/>
    <s v="Single"/>
    <s v="2017-08-19"/>
    <m/>
    <x v="1"/>
    <x v="78"/>
    <n v="2"/>
    <x v="1"/>
    <x v="0"/>
    <n v="6"/>
    <n v="9"/>
    <s v="Low"/>
  </r>
  <r>
    <x v="79"/>
    <s v="Kavita Nair"/>
    <x v="0"/>
    <s v="Marketing Executive"/>
    <x v="1"/>
    <n v="23"/>
    <s v="Married"/>
    <s v="2015-07-08"/>
    <s v="2021-08-20"/>
    <x v="0"/>
    <x v="79"/>
    <n v="3"/>
    <x v="3"/>
    <x v="1"/>
    <n v="23"/>
    <n v="6.1"/>
    <s v="N/A"/>
  </r>
  <r>
    <x v="80"/>
    <s v="Rohan Joshi"/>
    <x v="4"/>
    <s v="Finance Manager"/>
    <x v="0"/>
    <n v="27"/>
    <s v="Divorced"/>
    <s v="2021-11-01"/>
    <s v="2024-08-01"/>
    <x v="0"/>
    <x v="80"/>
    <n v="2"/>
    <x v="0"/>
    <x v="0"/>
    <n v="32"/>
    <n v="2.8"/>
    <s v="N/A"/>
  </r>
  <r>
    <x v="81"/>
    <s v="Shweta Sharma"/>
    <x v="0"/>
    <s v="Marketing Manager"/>
    <x v="1"/>
    <n v="51"/>
    <s v="Married"/>
    <s v="2025-02-08"/>
    <m/>
    <x v="1"/>
    <x v="81"/>
    <n v="2"/>
    <x v="0"/>
    <x v="1"/>
    <n v="5"/>
    <n v="1.5"/>
    <s v="Medium"/>
  </r>
  <r>
    <x v="82"/>
    <s v="Shweta Kapoor"/>
    <x v="2"/>
    <s v="Recruiter"/>
    <x v="1"/>
    <n v="41"/>
    <s v="Divorced"/>
    <s v="2017-03-26"/>
    <m/>
    <x v="1"/>
    <x v="82"/>
    <n v="1"/>
    <x v="2"/>
    <x v="0"/>
    <n v="16"/>
    <n v="9.4"/>
    <s v="Low"/>
  </r>
  <r>
    <x v="83"/>
    <s v="Priya Chopra"/>
    <x v="2"/>
    <s v="Recruiter"/>
    <x v="1"/>
    <n v="39"/>
    <s v="Married"/>
    <s v="2015-02-03"/>
    <m/>
    <x v="1"/>
    <x v="83"/>
    <n v="5"/>
    <x v="3"/>
    <x v="0"/>
    <n v="32"/>
    <n v="11.5"/>
    <s v="Medium"/>
  </r>
  <r>
    <x v="84"/>
    <s v="Divya Gupta"/>
    <x v="1"/>
    <s v="IT Support"/>
    <x v="1"/>
    <n v="38"/>
    <s v="Single"/>
    <s v="2022-08-08"/>
    <s v="2025-03-27"/>
    <x v="0"/>
    <x v="84"/>
    <n v="1"/>
    <x v="4"/>
    <x v="0"/>
    <n v="41"/>
    <n v="2.6"/>
    <s v="N/A"/>
  </r>
  <r>
    <x v="85"/>
    <s v="Sneha Patel"/>
    <x v="5"/>
    <s v="Account Manager"/>
    <x v="1"/>
    <n v="40"/>
    <s v="Divorced"/>
    <s v="2018-08-31"/>
    <m/>
    <x v="1"/>
    <x v="85"/>
    <n v="2"/>
    <x v="4"/>
    <x v="0"/>
    <n v="9"/>
    <n v="7.9"/>
    <s v="Medium"/>
  </r>
  <r>
    <x v="86"/>
    <s v="Kavita Rao"/>
    <x v="2"/>
    <s v="Recruiter"/>
    <x v="1"/>
    <n v="52"/>
    <s v="Single"/>
    <s v="2024-01-17"/>
    <m/>
    <x v="1"/>
    <x v="86"/>
    <n v="1"/>
    <x v="1"/>
    <x v="1"/>
    <n v="30"/>
    <n v="2.6"/>
    <s v="Medium"/>
  </r>
  <r>
    <x v="87"/>
    <s v="Ritu Iyer"/>
    <x v="1"/>
    <s v="IT Support"/>
    <x v="1"/>
    <n v="27"/>
    <s v="Married"/>
    <s v="2023-11-13"/>
    <m/>
    <x v="1"/>
    <x v="87"/>
    <n v="5"/>
    <x v="1"/>
    <x v="0"/>
    <n v="8"/>
    <n v="2.7"/>
    <s v="Low"/>
  </r>
  <r>
    <x v="88"/>
    <s v="Sunita Kumar"/>
    <x v="0"/>
    <s v="Marketing Manager"/>
    <x v="1"/>
    <n v="36"/>
    <s v="Divorced"/>
    <s v="2020-04-15"/>
    <s v="2025-08-28"/>
    <x v="0"/>
    <x v="88"/>
    <n v="3"/>
    <x v="0"/>
    <x v="1"/>
    <n v="40"/>
    <n v="5.4"/>
    <s v="N/A"/>
  </r>
  <r>
    <x v="89"/>
    <s v="Pooja Singh"/>
    <x v="0"/>
    <s v="Marketing Manager"/>
    <x v="1"/>
    <n v="24"/>
    <s v="Divorced"/>
    <s v="2015-06-02"/>
    <s v="2020-09-01"/>
    <x v="0"/>
    <x v="89"/>
    <n v="1"/>
    <x v="2"/>
    <x v="1"/>
    <n v="7"/>
    <n v="5.3"/>
    <s v="N/A"/>
  </r>
  <r>
    <x v="90"/>
    <s v="Seema Singh"/>
    <x v="2"/>
    <s v="Recruiter"/>
    <x v="1"/>
    <n v="48"/>
    <s v="Married"/>
    <s v="2022-05-06"/>
    <s v="2024-08-01"/>
    <x v="0"/>
    <x v="90"/>
    <n v="5"/>
    <x v="2"/>
    <x v="1"/>
    <n v="27"/>
    <n v="2.2000000000000002"/>
    <s v="N/A"/>
  </r>
  <r>
    <x v="91"/>
    <s v="Divya Iyer"/>
    <x v="1"/>
    <s v="System Analyst"/>
    <x v="1"/>
    <n v="28"/>
    <s v="Single"/>
    <s v="2022-09-09"/>
    <m/>
    <x v="1"/>
    <x v="91"/>
    <n v="1"/>
    <x v="1"/>
    <x v="0"/>
    <n v="26"/>
    <n v="3.9"/>
    <s v="Low"/>
  </r>
  <r>
    <x v="92"/>
    <s v="Ashok Sharma"/>
    <x v="4"/>
    <s v="Financial Analyst"/>
    <x v="0"/>
    <n v="25"/>
    <s v="Divorced"/>
    <s v="2023-10-28"/>
    <s v="2024-08-04"/>
    <x v="0"/>
    <x v="92"/>
    <n v="5"/>
    <x v="4"/>
    <x v="1"/>
    <n v="14"/>
    <n v="0.8"/>
    <s v="N/A"/>
  </r>
  <r>
    <x v="93"/>
    <s v="Ashok Sharma"/>
    <x v="1"/>
    <s v="System Analyst"/>
    <x v="0"/>
    <n v="39"/>
    <s v="Single"/>
    <s v="2024-08-17"/>
    <s v="2024-11-11"/>
    <x v="0"/>
    <x v="93"/>
    <n v="5"/>
    <x v="4"/>
    <x v="0"/>
    <n v="17"/>
    <n v="0.2"/>
    <s v="N/A"/>
  </r>
  <r>
    <x v="94"/>
    <s v="Divya Chauhan"/>
    <x v="1"/>
    <s v="Software Engineer"/>
    <x v="1"/>
    <n v="42"/>
    <s v="Single"/>
    <s v="2015-03-06"/>
    <m/>
    <x v="1"/>
    <x v="94"/>
    <n v="2"/>
    <x v="3"/>
    <x v="1"/>
    <n v="27"/>
    <n v="11.4"/>
    <s v="High"/>
  </r>
  <r>
    <x v="95"/>
    <s v="Payal Chauhan"/>
    <x v="4"/>
    <s v="Accountant"/>
    <x v="1"/>
    <n v="28"/>
    <s v="Married"/>
    <s v="2020-01-26"/>
    <m/>
    <x v="1"/>
    <x v="95"/>
    <n v="1"/>
    <x v="0"/>
    <x v="0"/>
    <n v="43"/>
    <n v="6.5"/>
    <s v="Low"/>
  </r>
  <r>
    <x v="96"/>
    <s v="Swati Malhotra"/>
    <x v="5"/>
    <s v="Sales Executive"/>
    <x v="1"/>
    <n v="28"/>
    <s v="Divorced"/>
    <s v="2020-07-01"/>
    <s v="2022-01-28"/>
    <x v="0"/>
    <x v="96"/>
    <n v="1"/>
    <x v="2"/>
    <x v="0"/>
    <n v="6"/>
    <n v="1.6"/>
    <s v="N/A"/>
  </r>
  <r>
    <x v="97"/>
    <s v="Swati Bhatt"/>
    <x v="2"/>
    <s v="Recruiter"/>
    <x v="1"/>
    <n v="55"/>
    <s v="Divorced"/>
    <s v="2018-04-22"/>
    <s v="2025-10-23"/>
    <x v="0"/>
    <x v="97"/>
    <n v="4"/>
    <x v="0"/>
    <x v="0"/>
    <n v="7"/>
    <n v="7.5"/>
    <s v="N/A"/>
  </r>
  <r>
    <x v="98"/>
    <s v="Ravi Kapoor"/>
    <x v="0"/>
    <s v="Content Specialist"/>
    <x v="0"/>
    <n v="36"/>
    <s v="Single"/>
    <s v="2019-08-22"/>
    <m/>
    <x v="1"/>
    <x v="98"/>
    <n v="4"/>
    <x v="2"/>
    <x v="1"/>
    <n v="27"/>
    <n v="7"/>
    <s v="Medium"/>
  </r>
  <r>
    <x v="99"/>
    <s v="Sunita Singh"/>
    <x v="2"/>
    <s v="Recruiter"/>
    <x v="1"/>
    <n v="52"/>
    <s v="Divorced"/>
    <s v="2015-10-02"/>
    <m/>
    <x v="1"/>
    <x v="99"/>
    <n v="1"/>
    <x v="3"/>
    <x v="1"/>
    <n v="28"/>
    <n v="10.9"/>
    <s v="High"/>
  </r>
  <r>
    <x v="100"/>
    <s v="Prakash Bose"/>
    <x v="1"/>
    <s v="IT Support"/>
    <x v="0"/>
    <n v="57"/>
    <s v="Married"/>
    <s v="2018-09-12"/>
    <m/>
    <x v="1"/>
    <x v="100"/>
    <n v="3"/>
    <x v="2"/>
    <x v="0"/>
    <n v="43"/>
    <n v="7.9"/>
    <s v="Low"/>
  </r>
  <r>
    <x v="101"/>
    <s v="Nidhi Nair"/>
    <x v="0"/>
    <s v="Marketing Executive"/>
    <x v="1"/>
    <n v="44"/>
    <s v="Single"/>
    <s v="2016-02-29"/>
    <m/>
    <x v="1"/>
    <x v="101"/>
    <n v="2"/>
    <x v="4"/>
    <x v="0"/>
    <n v="43"/>
    <n v="10.4"/>
    <s v="Medium"/>
  </r>
  <r>
    <x v="102"/>
    <s v="Pooja Rao"/>
    <x v="2"/>
    <s v="Recruiter"/>
    <x v="1"/>
    <n v="58"/>
    <s v="Divorced"/>
    <s v="2017-07-15"/>
    <m/>
    <x v="1"/>
    <x v="102"/>
    <n v="5"/>
    <x v="0"/>
    <x v="0"/>
    <n v="40"/>
    <n v="9.1"/>
    <s v="Low"/>
  </r>
  <r>
    <x v="103"/>
    <s v="Priya Joshi"/>
    <x v="3"/>
    <s v="Logistics Coordinator"/>
    <x v="1"/>
    <n v="39"/>
    <s v="Single"/>
    <s v="2022-11-18"/>
    <m/>
    <x v="1"/>
    <x v="103"/>
    <n v="3"/>
    <x v="1"/>
    <x v="0"/>
    <n v="1"/>
    <n v="3.7"/>
    <s v="Low"/>
  </r>
  <r>
    <x v="104"/>
    <s v="Rahul Patel"/>
    <x v="4"/>
    <s v="Financial Analyst"/>
    <x v="0"/>
    <n v="55"/>
    <s v="Married"/>
    <s v="2017-05-31"/>
    <m/>
    <x v="1"/>
    <x v="104"/>
    <n v="3"/>
    <x v="2"/>
    <x v="0"/>
    <n v="11"/>
    <n v="9.1999999999999993"/>
    <s v="Low"/>
  </r>
  <r>
    <x v="105"/>
    <s v="Amit Singh"/>
    <x v="3"/>
    <s v="Logistics Coordinator"/>
    <x v="0"/>
    <n v="32"/>
    <s v="Married"/>
    <s v="2023-06-18"/>
    <m/>
    <x v="1"/>
    <x v="105"/>
    <n v="3"/>
    <x v="3"/>
    <x v="0"/>
    <n v="29"/>
    <n v="3.1"/>
    <s v="Medium"/>
  </r>
  <r>
    <x v="106"/>
    <s v="Meena Pillai"/>
    <x v="4"/>
    <s v="Accountant"/>
    <x v="1"/>
    <n v="29"/>
    <s v="Divorced"/>
    <s v="2018-11-14"/>
    <m/>
    <x v="1"/>
    <x v="106"/>
    <n v="5"/>
    <x v="1"/>
    <x v="0"/>
    <n v="32"/>
    <n v="7.7"/>
    <s v="Low"/>
  </r>
  <r>
    <x v="107"/>
    <s v="Rahul Gupta"/>
    <x v="1"/>
    <s v="System Analyst"/>
    <x v="0"/>
    <n v="41"/>
    <s v="Single"/>
    <s v="2017-05-15"/>
    <m/>
    <x v="1"/>
    <x v="107"/>
    <n v="3"/>
    <x v="1"/>
    <x v="0"/>
    <n v="21"/>
    <n v="9.1999999999999993"/>
    <s v="Low"/>
  </r>
  <r>
    <x v="108"/>
    <s v="Nikhil Bose"/>
    <x v="4"/>
    <s v="Financial Analyst"/>
    <x v="0"/>
    <n v="36"/>
    <s v="Divorced"/>
    <s v="2020-08-11"/>
    <s v="2020-12-25"/>
    <x v="0"/>
    <x v="108"/>
    <n v="1"/>
    <x v="1"/>
    <x v="0"/>
    <n v="26"/>
    <n v="0.4"/>
    <s v="N/A"/>
  </r>
  <r>
    <x v="109"/>
    <s v="Seema Malhotra"/>
    <x v="4"/>
    <s v="Financial Analyst"/>
    <x v="1"/>
    <n v="58"/>
    <s v="Single"/>
    <s v="2019-07-15"/>
    <m/>
    <x v="1"/>
    <x v="109"/>
    <n v="3"/>
    <x v="2"/>
    <x v="0"/>
    <n v="8"/>
    <n v="7.1"/>
    <s v="Low"/>
  </r>
  <r>
    <x v="110"/>
    <s v="Sunita Patel"/>
    <x v="1"/>
    <s v="IT Support"/>
    <x v="1"/>
    <n v="49"/>
    <s v="Single"/>
    <s v="2024-06-21"/>
    <m/>
    <x v="1"/>
    <x v="110"/>
    <n v="5"/>
    <x v="2"/>
    <x v="1"/>
    <n v="26"/>
    <n v="2.1"/>
    <s v="Medium"/>
  </r>
  <r>
    <x v="111"/>
    <s v="Divya Reddy"/>
    <x v="2"/>
    <s v="Recruiter"/>
    <x v="1"/>
    <n v="32"/>
    <s v="Married"/>
    <s v="2015-11-09"/>
    <m/>
    <x v="1"/>
    <x v="111"/>
    <n v="5"/>
    <x v="3"/>
    <x v="0"/>
    <n v="33"/>
    <n v="10.8"/>
    <s v="Medium"/>
  </r>
  <r>
    <x v="112"/>
    <s v="Suresh Singh"/>
    <x v="0"/>
    <s v="Marketing Executive"/>
    <x v="0"/>
    <n v="38"/>
    <s v="Divorced"/>
    <s v="2017-03-19"/>
    <m/>
    <x v="1"/>
    <x v="112"/>
    <n v="1"/>
    <x v="4"/>
    <x v="1"/>
    <n v="12"/>
    <n v="9.4"/>
    <s v="High"/>
  </r>
  <r>
    <x v="113"/>
    <s v="Seema Bhatt"/>
    <x v="3"/>
    <s v="Logistics Coordinator"/>
    <x v="1"/>
    <n v="42"/>
    <s v="Married"/>
    <s v="2024-09-09"/>
    <m/>
    <x v="1"/>
    <x v="113"/>
    <n v="2"/>
    <x v="1"/>
    <x v="0"/>
    <n v="29"/>
    <n v="1.9"/>
    <s v="Low"/>
  </r>
  <r>
    <x v="114"/>
    <s v="Ajay Pillai"/>
    <x v="2"/>
    <s v="HR Manager"/>
    <x v="0"/>
    <n v="26"/>
    <s v="Married"/>
    <s v="2018-06-25"/>
    <s v="2019-08-28"/>
    <x v="0"/>
    <x v="114"/>
    <n v="1"/>
    <x v="3"/>
    <x v="0"/>
    <n v="24"/>
    <n v="1.2"/>
    <s v="N/A"/>
  </r>
  <r>
    <x v="115"/>
    <s v="Rita Chauhan"/>
    <x v="3"/>
    <s v="Logistics Coordinator"/>
    <x v="1"/>
    <n v="57"/>
    <s v="Single"/>
    <s v="2023-11-18"/>
    <s v="2025-05-18"/>
    <x v="0"/>
    <x v="115"/>
    <n v="4"/>
    <x v="3"/>
    <x v="0"/>
    <n v="37"/>
    <n v="1.5"/>
    <s v="N/A"/>
  </r>
  <r>
    <x v="116"/>
    <s v="Vivek Kumar"/>
    <x v="3"/>
    <s v="Operations Executive"/>
    <x v="0"/>
    <n v="43"/>
    <s v="Married"/>
    <s v="2023-01-04"/>
    <m/>
    <x v="1"/>
    <x v="116"/>
    <n v="1"/>
    <x v="4"/>
    <x v="1"/>
    <n v="16"/>
    <n v="3.6"/>
    <s v="High"/>
  </r>
  <r>
    <x v="117"/>
    <s v="Ajay Iyer"/>
    <x v="3"/>
    <s v="Logistics Coordinator"/>
    <x v="0"/>
    <n v="40"/>
    <s v="Divorced"/>
    <s v="2019-05-06"/>
    <m/>
    <x v="1"/>
    <x v="117"/>
    <n v="5"/>
    <x v="1"/>
    <x v="0"/>
    <n v="4"/>
    <n v="7.3"/>
    <s v="Low"/>
  </r>
  <r>
    <x v="118"/>
    <s v="Sunil Chopra"/>
    <x v="5"/>
    <s v="Sales Manager"/>
    <x v="0"/>
    <n v="40"/>
    <s v="Divorced"/>
    <s v="2017-10-29"/>
    <m/>
    <x v="1"/>
    <x v="118"/>
    <n v="2"/>
    <x v="0"/>
    <x v="0"/>
    <n v="22"/>
    <n v="8.8000000000000007"/>
    <s v="Low"/>
  </r>
  <r>
    <x v="119"/>
    <s v="Sneha Bhatt"/>
    <x v="2"/>
    <s v="HR Manager"/>
    <x v="1"/>
    <n v="27"/>
    <s v="Divorced"/>
    <s v="2018-06-22"/>
    <m/>
    <x v="1"/>
    <x v="119"/>
    <n v="2"/>
    <x v="1"/>
    <x v="0"/>
    <n v="43"/>
    <n v="8.1"/>
    <s v="Low"/>
  </r>
  <r>
    <x v="120"/>
    <s v="Payal Iyer"/>
    <x v="3"/>
    <s v="Operations Executive"/>
    <x v="1"/>
    <n v="23"/>
    <s v="Single"/>
    <s v="2019-01-25"/>
    <m/>
    <x v="1"/>
    <x v="120"/>
    <n v="3"/>
    <x v="4"/>
    <x v="1"/>
    <n v="32"/>
    <n v="7.5"/>
    <s v="High"/>
  </r>
  <r>
    <x v="121"/>
    <s v="Pooja Pillai"/>
    <x v="1"/>
    <s v="Software Engineer"/>
    <x v="1"/>
    <n v="56"/>
    <s v="Divorced"/>
    <s v="2024-05-13"/>
    <s v="2025-08-01"/>
    <x v="0"/>
    <x v="121"/>
    <n v="1"/>
    <x v="0"/>
    <x v="0"/>
    <n v="43"/>
    <n v="1.2"/>
    <s v="N/A"/>
  </r>
  <r>
    <x v="122"/>
    <s v="Ashok Joshi"/>
    <x v="1"/>
    <s v="Software Engineer"/>
    <x v="0"/>
    <n v="50"/>
    <s v="Divorced"/>
    <s v="2015-06-28"/>
    <m/>
    <x v="1"/>
    <x v="122"/>
    <n v="4"/>
    <x v="4"/>
    <x v="0"/>
    <n v="40"/>
    <n v="11.1"/>
    <s v="Medium"/>
  </r>
  <r>
    <x v="123"/>
    <s v="Deepak Das"/>
    <x v="1"/>
    <s v="IT Support"/>
    <x v="0"/>
    <n v="34"/>
    <s v="Married"/>
    <s v="2019-02-15"/>
    <m/>
    <x v="1"/>
    <x v="123"/>
    <n v="4"/>
    <x v="0"/>
    <x v="0"/>
    <n v="30"/>
    <n v="7.5"/>
    <s v="Low"/>
  </r>
  <r>
    <x v="124"/>
    <s v="Kavita Gupta"/>
    <x v="3"/>
    <s v="Logistics Coordinator"/>
    <x v="1"/>
    <n v="30"/>
    <s v="Single"/>
    <s v="2024-10-15"/>
    <m/>
    <x v="1"/>
    <x v="124"/>
    <n v="3"/>
    <x v="2"/>
    <x v="1"/>
    <n v="36"/>
    <n v="1.8"/>
    <s v="Medium"/>
  </r>
  <r>
    <x v="125"/>
    <s v="Anjali Joshi"/>
    <x v="3"/>
    <s v="Operations Executive"/>
    <x v="1"/>
    <n v="39"/>
    <s v="Single"/>
    <s v="2020-01-15"/>
    <m/>
    <x v="1"/>
    <x v="125"/>
    <n v="4"/>
    <x v="4"/>
    <x v="0"/>
    <n v="6"/>
    <n v="6.6"/>
    <s v="Medium"/>
  </r>
  <r>
    <x v="126"/>
    <s v="Neha Chopra"/>
    <x v="2"/>
    <s v="HR Executive"/>
    <x v="1"/>
    <n v="54"/>
    <s v="Married"/>
    <s v="2019-03-12"/>
    <m/>
    <x v="1"/>
    <x v="126"/>
    <n v="3"/>
    <x v="3"/>
    <x v="1"/>
    <n v="15"/>
    <n v="7.4"/>
    <s v="High"/>
  </r>
  <r>
    <x v="127"/>
    <s v="Sneha Singh"/>
    <x v="0"/>
    <s v="Content Specialist"/>
    <x v="1"/>
    <n v="24"/>
    <s v="Divorced"/>
    <s v="2018-03-21"/>
    <s v="2019-04-09"/>
    <x v="0"/>
    <x v="127"/>
    <n v="2"/>
    <x v="2"/>
    <x v="0"/>
    <n v="31"/>
    <n v="1.1000000000000001"/>
    <s v="N/A"/>
  </r>
  <r>
    <x v="128"/>
    <s v="Arjun Bose"/>
    <x v="5"/>
    <s v="Sales Manager"/>
    <x v="0"/>
    <n v="55"/>
    <s v="Single"/>
    <s v="2019-09-30"/>
    <s v="2025-01-13"/>
    <x v="0"/>
    <x v="128"/>
    <n v="2"/>
    <x v="1"/>
    <x v="1"/>
    <n v="20"/>
    <n v="5.3"/>
    <s v="N/A"/>
  </r>
  <r>
    <x v="129"/>
    <s v="Nidhi Bose"/>
    <x v="5"/>
    <s v="Sales Executive"/>
    <x v="1"/>
    <n v="23"/>
    <s v="Single"/>
    <s v="2022-02-01"/>
    <m/>
    <x v="1"/>
    <x v="129"/>
    <n v="2"/>
    <x v="4"/>
    <x v="0"/>
    <n v="19"/>
    <n v="4.5"/>
    <s v="Medium"/>
  </r>
  <r>
    <x v="130"/>
    <s v="Kavita Patel"/>
    <x v="1"/>
    <s v="IT Support"/>
    <x v="1"/>
    <n v="55"/>
    <s v="Divorced"/>
    <s v="2019-01-17"/>
    <m/>
    <x v="1"/>
    <x v="130"/>
    <n v="5"/>
    <x v="0"/>
    <x v="1"/>
    <n v="33"/>
    <n v="7.6"/>
    <s v="Medium"/>
  </r>
  <r>
    <x v="131"/>
    <s v="Nikhil Iyer"/>
    <x v="4"/>
    <s v="Accountant"/>
    <x v="0"/>
    <n v="38"/>
    <s v="Divorced"/>
    <s v="2023-05-20"/>
    <m/>
    <x v="1"/>
    <x v="131"/>
    <n v="3"/>
    <x v="3"/>
    <x v="1"/>
    <n v="16"/>
    <n v="3.2"/>
    <s v="High"/>
  </r>
  <r>
    <x v="132"/>
    <s v="Sneha Verma"/>
    <x v="3"/>
    <s v="Logistics Coordinator"/>
    <x v="1"/>
    <n v="44"/>
    <s v="Divorced"/>
    <s v="2021-02-14"/>
    <s v="2022-01-16"/>
    <x v="0"/>
    <x v="132"/>
    <n v="4"/>
    <x v="4"/>
    <x v="1"/>
    <n v="45"/>
    <n v="0.9"/>
    <s v="N/A"/>
  </r>
  <r>
    <x v="133"/>
    <s v="Neha Nair"/>
    <x v="5"/>
    <s v="Account Manager"/>
    <x v="1"/>
    <n v="34"/>
    <s v="Married"/>
    <s v="2015-06-29"/>
    <m/>
    <x v="1"/>
    <x v="133"/>
    <n v="3"/>
    <x v="3"/>
    <x v="0"/>
    <n v="20"/>
    <n v="11.1"/>
    <s v="Medium"/>
  </r>
  <r>
    <x v="134"/>
    <s v="Neha Gupta"/>
    <x v="3"/>
    <s v="Operations Manager"/>
    <x v="1"/>
    <n v="40"/>
    <s v="Married"/>
    <s v="2019-01-02"/>
    <m/>
    <x v="1"/>
    <x v="134"/>
    <n v="3"/>
    <x v="3"/>
    <x v="0"/>
    <n v="18"/>
    <n v="7.6"/>
    <s v="Medium"/>
  </r>
  <r>
    <x v="135"/>
    <s v="Swati Reddy"/>
    <x v="4"/>
    <s v="Finance Manager"/>
    <x v="1"/>
    <n v="33"/>
    <s v="Single"/>
    <s v="2020-07-25"/>
    <m/>
    <x v="1"/>
    <x v="135"/>
    <n v="5"/>
    <x v="1"/>
    <x v="0"/>
    <n v="18"/>
    <n v="6"/>
    <s v="Low"/>
  </r>
  <r>
    <x v="136"/>
    <s v="Sunil Nair"/>
    <x v="5"/>
    <s v="Sales Manager"/>
    <x v="0"/>
    <n v="42"/>
    <s v="Divorced"/>
    <s v="2016-02-25"/>
    <m/>
    <x v="1"/>
    <x v="136"/>
    <n v="3"/>
    <x v="1"/>
    <x v="1"/>
    <n v="29"/>
    <n v="10.5"/>
    <s v="Medium"/>
  </r>
  <r>
    <x v="137"/>
    <s v="Rita Verma"/>
    <x v="0"/>
    <s v="Marketing Manager"/>
    <x v="1"/>
    <n v="44"/>
    <s v="Divorced"/>
    <s v="2021-11-23"/>
    <m/>
    <x v="1"/>
    <x v="137"/>
    <n v="1"/>
    <x v="1"/>
    <x v="0"/>
    <n v="5"/>
    <n v="4.7"/>
    <s v="Low"/>
  </r>
  <r>
    <x v="138"/>
    <s v="Rahul Singh"/>
    <x v="3"/>
    <s v="Logistics Coordinator"/>
    <x v="0"/>
    <n v="50"/>
    <s v="Divorced"/>
    <s v="2015-05-23"/>
    <s v="2017-04-10"/>
    <x v="0"/>
    <x v="138"/>
    <n v="3"/>
    <x v="4"/>
    <x v="1"/>
    <n v="24"/>
    <n v="1.9"/>
    <s v="N/A"/>
  </r>
  <r>
    <x v="139"/>
    <s v="Sunita Kapoor"/>
    <x v="0"/>
    <s v="Marketing Manager"/>
    <x v="1"/>
    <n v="26"/>
    <s v="Married"/>
    <s v="2021-06-08"/>
    <s v="2022-03-27"/>
    <x v="0"/>
    <x v="139"/>
    <n v="4"/>
    <x v="1"/>
    <x v="1"/>
    <n v="21"/>
    <n v="0.8"/>
    <s v="N/A"/>
  </r>
  <r>
    <x v="140"/>
    <s v="Gaurav Pillai"/>
    <x v="5"/>
    <s v="Account Manager"/>
    <x v="0"/>
    <n v="46"/>
    <s v="Divorced"/>
    <s v="2025-03-30"/>
    <m/>
    <x v="1"/>
    <x v="140"/>
    <n v="3"/>
    <x v="1"/>
    <x v="0"/>
    <n v="29"/>
    <n v="1.4"/>
    <s v="Low"/>
  </r>
  <r>
    <x v="141"/>
    <s v="Arjun Patel"/>
    <x v="4"/>
    <s v="Financial Analyst"/>
    <x v="0"/>
    <n v="50"/>
    <s v="Married"/>
    <s v="2016-12-08"/>
    <m/>
    <x v="1"/>
    <x v="141"/>
    <n v="1"/>
    <x v="2"/>
    <x v="0"/>
    <n v="44"/>
    <n v="9.6999999999999993"/>
    <s v="Low"/>
  </r>
  <r>
    <x v="142"/>
    <s v="Anita Joshi"/>
    <x v="0"/>
    <s v="Marketing Executive"/>
    <x v="1"/>
    <n v="33"/>
    <s v="Single"/>
    <s v="2023-11-25"/>
    <s v="2025-06-12"/>
    <x v="0"/>
    <x v="142"/>
    <n v="1"/>
    <x v="4"/>
    <x v="0"/>
    <n v="13"/>
    <n v="1.5"/>
    <s v="N/A"/>
  </r>
  <r>
    <x v="143"/>
    <s v="Rita Bose"/>
    <x v="5"/>
    <s v="Sales Manager"/>
    <x v="1"/>
    <n v="30"/>
    <s v="Divorced"/>
    <s v="2021-11-11"/>
    <m/>
    <x v="1"/>
    <x v="143"/>
    <n v="3"/>
    <x v="3"/>
    <x v="0"/>
    <n v="26"/>
    <n v="4.7"/>
    <s v="Medium"/>
  </r>
  <r>
    <x v="144"/>
    <s v="Arjun Reddy"/>
    <x v="4"/>
    <s v="Accountant"/>
    <x v="0"/>
    <n v="26"/>
    <s v="Divorced"/>
    <s v="2020-01-18"/>
    <m/>
    <x v="1"/>
    <x v="144"/>
    <n v="3"/>
    <x v="0"/>
    <x v="0"/>
    <n v="9"/>
    <n v="6.6"/>
    <s v="Low"/>
  </r>
  <r>
    <x v="145"/>
    <s v="Payal Verma"/>
    <x v="1"/>
    <s v="Software Engineer"/>
    <x v="1"/>
    <n v="29"/>
    <s v="Divorced"/>
    <s v="2020-10-23"/>
    <s v="2024-02-28"/>
    <x v="0"/>
    <x v="145"/>
    <n v="2"/>
    <x v="4"/>
    <x v="1"/>
    <n v="21"/>
    <n v="3.4"/>
    <s v="N/A"/>
  </r>
  <r>
    <x v="146"/>
    <s v="Sunil Rao"/>
    <x v="5"/>
    <s v="Sales Manager"/>
    <x v="0"/>
    <n v="30"/>
    <s v="Single"/>
    <s v="2022-01-04"/>
    <m/>
    <x v="1"/>
    <x v="146"/>
    <n v="1"/>
    <x v="0"/>
    <x v="1"/>
    <n v="33"/>
    <n v="4.5999999999999996"/>
    <s v="Medium"/>
  </r>
  <r>
    <x v="147"/>
    <s v="Ashok Bhatt"/>
    <x v="3"/>
    <s v="Operations Executive"/>
    <x v="0"/>
    <n v="43"/>
    <s v="Divorced"/>
    <s v="2024-06-13"/>
    <m/>
    <x v="1"/>
    <x v="147"/>
    <n v="1"/>
    <x v="3"/>
    <x v="0"/>
    <n v="6"/>
    <n v="2.2000000000000002"/>
    <s v="Medium"/>
  </r>
  <r>
    <x v="148"/>
    <s v="Prakash Malhotra"/>
    <x v="2"/>
    <s v="Recruiter"/>
    <x v="0"/>
    <n v="23"/>
    <s v="Married"/>
    <s v="2020-08-01"/>
    <m/>
    <x v="1"/>
    <x v="148"/>
    <n v="3"/>
    <x v="0"/>
    <x v="0"/>
    <n v="42"/>
    <n v="6"/>
    <s v="Low"/>
  </r>
  <r>
    <x v="149"/>
    <s v="Rita Patel"/>
    <x v="0"/>
    <s v="Marketing Manager"/>
    <x v="1"/>
    <n v="25"/>
    <s v="Divorced"/>
    <s v="2016-10-09"/>
    <s v="2026-08-06"/>
    <x v="0"/>
    <x v="149"/>
    <n v="4"/>
    <x v="2"/>
    <x v="0"/>
    <n v="14"/>
    <n v="9.8000000000000007"/>
    <s v="N/A"/>
  </r>
  <r>
    <x v="150"/>
    <s v="Swati Singh"/>
    <x v="0"/>
    <s v="Marketing Manager"/>
    <x v="1"/>
    <n v="45"/>
    <s v="Married"/>
    <s v="2020-10-10"/>
    <m/>
    <x v="1"/>
    <x v="150"/>
    <n v="2"/>
    <x v="1"/>
    <x v="0"/>
    <n v="30"/>
    <n v="5.8"/>
    <s v="Low"/>
  </r>
  <r>
    <x v="151"/>
    <s v="Deepak Chopra"/>
    <x v="1"/>
    <s v="Software Engineer"/>
    <x v="0"/>
    <n v="48"/>
    <s v="Married"/>
    <s v="2017-10-13"/>
    <s v="2019-09-25"/>
    <x v="0"/>
    <x v="151"/>
    <n v="3"/>
    <x v="4"/>
    <x v="0"/>
    <n v="37"/>
    <n v="2"/>
    <s v="N/A"/>
  </r>
  <r>
    <x v="152"/>
    <s v="Komal Nair"/>
    <x v="4"/>
    <s v="Finance Manager"/>
    <x v="1"/>
    <n v="53"/>
    <s v="Single"/>
    <s v="2015-04-05"/>
    <m/>
    <x v="1"/>
    <x v="152"/>
    <n v="5"/>
    <x v="2"/>
    <x v="1"/>
    <n v="30"/>
    <n v="11.3"/>
    <s v="Medium"/>
  </r>
  <r>
    <x v="153"/>
    <s v="Komal Bhatt"/>
    <x v="5"/>
    <s v="Sales Executive"/>
    <x v="1"/>
    <n v="52"/>
    <s v="Married"/>
    <s v="2018-03-16"/>
    <m/>
    <x v="1"/>
    <x v="153"/>
    <n v="4"/>
    <x v="3"/>
    <x v="0"/>
    <n v="9"/>
    <n v="8.4"/>
    <s v="Medium"/>
  </r>
  <r>
    <x v="154"/>
    <s v="Nikhil Verma"/>
    <x v="4"/>
    <s v="Accountant"/>
    <x v="0"/>
    <n v="58"/>
    <s v="Divorced"/>
    <s v="2021-04-20"/>
    <m/>
    <x v="1"/>
    <x v="154"/>
    <n v="3"/>
    <x v="0"/>
    <x v="1"/>
    <n v="5"/>
    <n v="5.3"/>
    <s v="Medium"/>
  </r>
  <r>
    <x v="155"/>
    <s v="Arjun Kumar"/>
    <x v="3"/>
    <s v="Operations Manager"/>
    <x v="0"/>
    <n v="47"/>
    <s v="Single"/>
    <s v="2019-03-09"/>
    <m/>
    <x v="1"/>
    <x v="155"/>
    <n v="5"/>
    <x v="1"/>
    <x v="0"/>
    <n v="24"/>
    <n v="7.4"/>
    <s v="Low"/>
  </r>
  <r>
    <x v="156"/>
    <s v="Amit Verma"/>
    <x v="3"/>
    <s v="Operations Manager"/>
    <x v="0"/>
    <n v="30"/>
    <s v="Divorced"/>
    <s v="2023-01-01"/>
    <m/>
    <x v="1"/>
    <x v="156"/>
    <n v="5"/>
    <x v="2"/>
    <x v="1"/>
    <n v="30"/>
    <n v="3.6"/>
    <s v="Medium"/>
  </r>
  <r>
    <x v="157"/>
    <s v="Kavita Chopra"/>
    <x v="1"/>
    <s v="System Analyst"/>
    <x v="1"/>
    <n v="41"/>
    <s v="Divorced"/>
    <s v="2021-08-28"/>
    <s v="2026-05-24"/>
    <x v="0"/>
    <x v="157"/>
    <n v="5"/>
    <x v="0"/>
    <x v="1"/>
    <n v="32"/>
    <n v="4.7"/>
    <s v="N/A"/>
  </r>
  <r>
    <x v="158"/>
    <s v="Pooja Malhotra"/>
    <x v="5"/>
    <s v="Sales Manager"/>
    <x v="1"/>
    <n v="41"/>
    <s v="Divorced"/>
    <s v="2023-12-08"/>
    <m/>
    <x v="1"/>
    <x v="158"/>
    <n v="5"/>
    <x v="3"/>
    <x v="0"/>
    <n v="31"/>
    <n v="2.7"/>
    <s v="Medium"/>
  </r>
  <r>
    <x v="159"/>
    <s v="Amit Chauhan"/>
    <x v="3"/>
    <s v="Logistics Coordinator"/>
    <x v="0"/>
    <n v="52"/>
    <s v="Divorced"/>
    <s v="2016-11-29"/>
    <m/>
    <x v="1"/>
    <x v="159"/>
    <n v="4"/>
    <x v="0"/>
    <x v="0"/>
    <n v="10"/>
    <n v="9.6999999999999993"/>
    <s v="Low"/>
  </r>
  <r>
    <x v="160"/>
    <s v="Karan Sharma"/>
    <x v="3"/>
    <s v="Logistics Coordinator"/>
    <x v="0"/>
    <n v="50"/>
    <s v="Divorced"/>
    <s v="2018-07-08"/>
    <m/>
    <x v="1"/>
    <x v="160"/>
    <n v="2"/>
    <x v="2"/>
    <x v="0"/>
    <n v="27"/>
    <n v="8.1"/>
    <s v="Low"/>
  </r>
  <r>
    <x v="161"/>
    <s v="Arjun Pillai"/>
    <x v="0"/>
    <s v="Content Specialist"/>
    <x v="0"/>
    <n v="35"/>
    <s v="Single"/>
    <s v="2021-04-16"/>
    <m/>
    <x v="1"/>
    <x v="161"/>
    <n v="5"/>
    <x v="2"/>
    <x v="1"/>
    <n v="25"/>
    <n v="5.3"/>
    <s v="Medium"/>
  </r>
  <r>
    <x v="162"/>
    <s v="Shweta Bhatt"/>
    <x v="3"/>
    <s v="Operations Manager"/>
    <x v="1"/>
    <n v="52"/>
    <s v="Married"/>
    <s v="2017-02-26"/>
    <m/>
    <x v="1"/>
    <x v="162"/>
    <n v="5"/>
    <x v="1"/>
    <x v="0"/>
    <n v="20"/>
    <n v="9.4"/>
    <s v="Low"/>
  </r>
  <r>
    <x v="163"/>
    <s v="Rekha Das"/>
    <x v="0"/>
    <s v="Marketing Executive"/>
    <x v="1"/>
    <n v="44"/>
    <s v="Divorced"/>
    <s v="2021-04-14"/>
    <m/>
    <x v="1"/>
    <x v="163"/>
    <n v="3"/>
    <x v="1"/>
    <x v="0"/>
    <n v="8"/>
    <n v="5.3"/>
    <s v="Low"/>
  </r>
  <r>
    <x v="164"/>
    <s v="Deepak Verma"/>
    <x v="4"/>
    <s v="Accountant"/>
    <x v="0"/>
    <n v="40"/>
    <s v="Single"/>
    <s v="2023-01-04"/>
    <m/>
    <x v="1"/>
    <x v="164"/>
    <n v="3"/>
    <x v="2"/>
    <x v="1"/>
    <n v="31"/>
    <n v="3.6"/>
    <s v="Medium"/>
  </r>
  <r>
    <x v="165"/>
    <s v="Sneha Kumar"/>
    <x v="2"/>
    <s v="Recruiter"/>
    <x v="1"/>
    <n v="37"/>
    <s v="Single"/>
    <s v="2017-09-20"/>
    <s v="2021-08-02"/>
    <x v="0"/>
    <x v="165"/>
    <n v="2"/>
    <x v="0"/>
    <x v="1"/>
    <n v="41"/>
    <n v="3.9"/>
    <s v="N/A"/>
  </r>
  <r>
    <x v="166"/>
    <s v="Arjun Sharma"/>
    <x v="0"/>
    <s v="Marketing Manager"/>
    <x v="0"/>
    <n v="57"/>
    <s v="Married"/>
    <s v="2025-06-02"/>
    <m/>
    <x v="1"/>
    <x v="166"/>
    <n v="4"/>
    <x v="2"/>
    <x v="1"/>
    <n v="42"/>
    <n v="1.2"/>
    <s v="Medium"/>
  </r>
  <r>
    <x v="167"/>
    <s v="Prakash Mehta"/>
    <x v="0"/>
    <s v="Marketing Executive"/>
    <x v="0"/>
    <n v="56"/>
    <s v="Single"/>
    <s v="2023-04-14"/>
    <m/>
    <x v="1"/>
    <x v="167"/>
    <n v="2"/>
    <x v="3"/>
    <x v="0"/>
    <n v="27"/>
    <n v="3.3"/>
    <s v="Medium"/>
  </r>
  <r>
    <x v="168"/>
    <s v="Kavita Nair"/>
    <x v="5"/>
    <s v="Sales Manager"/>
    <x v="1"/>
    <n v="24"/>
    <s v="Married"/>
    <s v="2015-02-07"/>
    <m/>
    <x v="1"/>
    <x v="168"/>
    <n v="1"/>
    <x v="0"/>
    <x v="1"/>
    <n v="22"/>
    <n v="11.5"/>
    <s v="Medium"/>
  </r>
  <r>
    <x v="169"/>
    <s v="Sneha Pillai"/>
    <x v="3"/>
    <s v="Logistics Coordinator"/>
    <x v="1"/>
    <n v="51"/>
    <s v="Married"/>
    <s v="2018-01-22"/>
    <m/>
    <x v="1"/>
    <x v="169"/>
    <n v="3"/>
    <x v="3"/>
    <x v="1"/>
    <n v="11"/>
    <n v="8.5"/>
    <s v="High"/>
  </r>
  <r>
    <x v="170"/>
    <s v="Anil Nair"/>
    <x v="0"/>
    <s v="Marketing Executive"/>
    <x v="0"/>
    <n v="58"/>
    <s v="Married"/>
    <s v="2022-07-25"/>
    <m/>
    <x v="1"/>
    <x v="170"/>
    <n v="5"/>
    <x v="4"/>
    <x v="0"/>
    <n v="41"/>
    <n v="4"/>
    <s v="Medium"/>
  </r>
  <r>
    <x v="171"/>
    <s v="Nikhil Kumar"/>
    <x v="3"/>
    <s v="Operations Manager"/>
    <x v="0"/>
    <n v="33"/>
    <s v="Single"/>
    <s v="2016-07-29"/>
    <m/>
    <x v="1"/>
    <x v="171"/>
    <n v="1"/>
    <x v="4"/>
    <x v="0"/>
    <n v="17"/>
    <n v="10"/>
    <s v="Medium"/>
  </r>
  <r>
    <x v="172"/>
    <s v="Seema Chauhan"/>
    <x v="2"/>
    <s v="HR Manager"/>
    <x v="1"/>
    <n v="22"/>
    <s v="Married"/>
    <s v="2017-12-07"/>
    <s v="2022-08-23"/>
    <x v="0"/>
    <x v="172"/>
    <n v="1"/>
    <x v="4"/>
    <x v="0"/>
    <n v="43"/>
    <n v="4.7"/>
    <s v="N/A"/>
  </r>
  <r>
    <x v="173"/>
    <s v="Pooja Nair"/>
    <x v="0"/>
    <s v="Content Specialist"/>
    <x v="1"/>
    <n v="45"/>
    <s v="Divorced"/>
    <s v="2021-11-22"/>
    <m/>
    <x v="1"/>
    <x v="173"/>
    <n v="4"/>
    <x v="4"/>
    <x v="1"/>
    <n v="10"/>
    <n v="4.7"/>
    <s v="High"/>
  </r>
  <r>
    <x v="174"/>
    <s v="Ritu Gupta"/>
    <x v="2"/>
    <s v="HR Manager"/>
    <x v="1"/>
    <n v="37"/>
    <s v="Divorced"/>
    <s v="2022-08-18"/>
    <m/>
    <x v="1"/>
    <x v="174"/>
    <n v="5"/>
    <x v="3"/>
    <x v="0"/>
    <n v="29"/>
    <n v="4"/>
    <s v="Medium"/>
  </r>
  <r>
    <x v="175"/>
    <s v="Sunil Pillai"/>
    <x v="3"/>
    <s v="Operations Executive"/>
    <x v="0"/>
    <n v="34"/>
    <s v="Single"/>
    <s v="2021-06-03"/>
    <m/>
    <x v="1"/>
    <x v="175"/>
    <n v="3"/>
    <x v="4"/>
    <x v="0"/>
    <n v="34"/>
    <n v="5.2"/>
    <s v="Medium"/>
  </r>
  <r>
    <x v="176"/>
    <s v="Anjali Pillai"/>
    <x v="0"/>
    <s v="Content Specialist"/>
    <x v="1"/>
    <n v="50"/>
    <s v="Divorced"/>
    <s v="2024-01-26"/>
    <s v="2025-07-12"/>
    <x v="0"/>
    <x v="176"/>
    <n v="5"/>
    <x v="4"/>
    <x v="1"/>
    <n v="27"/>
    <n v="1.5"/>
    <s v="N/A"/>
  </r>
  <r>
    <x v="177"/>
    <s v="Nikhil Rao"/>
    <x v="0"/>
    <s v="Marketing Manager"/>
    <x v="0"/>
    <n v="22"/>
    <s v="Divorced"/>
    <s v="2023-05-13"/>
    <s v="2023-11-12"/>
    <x v="0"/>
    <x v="177"/>
    <n v="1"/>
    <x v="3"/>
    <x v="1"/>
    <n v="28"/>
    <n v="0.5"/>
    <s v="N/A"/>
  </r>
  <r>
    <x v="178"/>
    <s v="Deepak Malhotra"/>
    <x v="5"/>
    <s v="Sales Manager"/>
    <x v="0"/>
    <n v="33"/>
    <s v="Married"/>
    <s v="2023-08-16"/>
    <m/>
    <x v="1"/>
    <x v="178"/>
    <n v="3"/>
    <x v="2"/>
    <x v="1"/>
    <n v="25"/>
    <n v="3"/>
    <s v="Medium"/>
  </r>
  <r>
    <x v="179"/>
    <s v="Ajay Kumar"/>
    <x v="0"/>
    <s v="Content Specialist"/>
    <x v="0"/>
    <n v="33"/>
    <s v="Single"/>
    <s v="2021-01-09"/>
    <m/>
    <x v="1"/>
    <x v="179"/>
    <n v="2"/>
    <x v="4"/>
    <x v="0"/>
    <n v="1"/>
    <n v="5.6"/>
    <s v="Medium"/>
  </r>
  <r>
    <x v="180"/>
    <s v="Ritu Chopra"/>
    <x v="4"/>
    <s v="Finance Manager"/>
    <x v="1"/>
    <n v="36"/>
    <s v="Divorced"/>
    <s v="2017-10-10"/>
    <m/>
    <x v="1"/>
    <x v="180"/>
    <n v="3"/>
    <x v="4"/>
    <x v="0"/>
    <n v="13"/>
    <n v="8.8000000000000007"/>
    <s v="Medium"/>
  </r>
  <r>
    <x v="181"/>
    <s v="Nidhi Sharma"/>
    <x v="5"/>
    <s v="Account Manager"/>
    <x v="1"/>
    <n v="37"/>
    <s v="Divorced"/>
    <s v="2017-04-24"/>
    <m/>
    <x v="1"/>
    <x v="181"/>
    <n v="1"/>
    <x v="0"/>
    <x v="1"/>
    <n v="29"/>
    <n v="9.3000000000000007"/>
    <s v="Medium"/>
  </r>
  <r>
    <x v="182"/>
    <s v="Nikhil Kapoor"/>
    <x v="5"/>
    <s v="Sales Executive"/>
    <x v="0"/>
    <n v="36"/>
    <s v="Single"/>
    <s v="2021-01-19"/>
    <m/>
    <x v="1"/>
    <x v="182"/>
    <n v="2"/>
    <x v="3"/>
    <x v="1"/>
    <n v="33"/>
    <n v="5.6"/>
    <s v="High"/>
  </r>
  <r>
    <x v="183"/>
    <s v="Seema Bhatt"/>
    <x v="0"/>
    <s v="Content Specialist"/>
    <x v="1"/>
    <n v="42"/>
    <s v="Married"/>
    <s v="2017-08-28"/>
    <s v="2024-01-24"/>
    <x v="0"/>
    <x v="183"/>
    <n v="5"/>
    <x v="4"/>
    <x v="1"/>
    <n v="15"/>
    <n v="6.4"/>
    <s v="N/A"/>
  </r>
  <r>
    <x v="184"/>
    <s v="Ravi Bose"/>
    <x v="3"/>
    <s v="Logistics Coordinator"/>
    <x v="0"/>
    <n v="53"/>
    <s v="Married"/>
    <s v="2015-07-12"/>
    <m/>
    <x v="1"/>
    <x v="184"/>
    <n v="5"/>
    <x v="2"/>
    <x v="0"/>
    <n v="21"/>
    <n v="11.1"/>
    <s v="Low"/>
  </r>
  <r>
    <x v="185"/>
    <s v="Sunil Das"/>
    <x v="2"/>
    <s v="HR Manager"/>
    <x v="0"/>
    <n v="37"/>
    <s v="Married"/>
    <s v="2024-07-10"/>
    <m/>
    <x v="1"/>
    <x v="185"/>
    <n v="4"/>
    <x v="4"/>
    <x v="1"/>
    <n v="4"/>
    <n v="2.1"/>
    <s v="High"/>
  </r>
  <r>
    <x v="186"/>
    <s v="Nikhil Mehta"/>
    <x v="3"/>
    <s v="Logistics Coordinator"/>
    <x v="0"/>
    <n v="38"/>
    <s v="Divorced"/>
    <s v="2017-04-12"/>
    <m/>
    <x v="1"/>
    <x v="186"/>
    <n v="4"/>
    <x v="3"/>
    <x v="1"/>
    <n v="24"/>
    <n v="9.3000000000000007"/>
    <s v="High"/>
  </r>
  <r>
    <x v="187"/>
    <s v="Swati Bhatt"/>
    <x v="1"/>
    <s v="Software Engineer"/>
    <x v="1"/>
    <n v="24"/>
    <s v="Single"/>
    <s v="2024-10-18"/>
    <m/>
    <x v="1"/>
    <x v="187"/>
    <n v="5"/>
    <x v="0"/>
    <x v="1"/>
    <n v="14"/>
    <n v="1.8"/>
    <s v="Medium"/>
  </r>
  <r>
    <x v="188"/>
    <s v="Karan Gupta"/>
    <x v="2"/>
    <s v="HR Manager"/>
    <x v="0"/>
    <n v="29"/>
    <s v="Divorced"/>
    <s v="2023-05-18"/>
    <m/>
    <x v="1"/>
    <x v="188"/>
    <n v="2"/>
    <x v="2"/>
    <x v="0"/>
    <n v="45"/>
    <n v="3.2"/>
    <s v="Low"/>
  </r>
  <r>
    <x v="189"/>
    <s v="Anita Chopra"/>
    <x v="1"/>
    <s v="IT Support"/>
    <x v="1"/>
    <n v="51"/>
    <s v="Married"/>
    <s v="2020-12-25"/>
    <m/>
    <x v="1"/>
    <x v="189"/>
    <n v="3"/>
    <x v="1"/>
    <x v="0"/>
    <n v="24"/>
    <n v="5.6"/>
    <s v="Low"/>
  </r>
  <r>
    <x v="190"/>
    <s v="Meena Iyer"/>
    <x v="0"/>
    <s v="Marketing Manager"/>
    <x v="1"/>
    <n v="42"/>
    <s v="Divorced"/>
    <s v="2019-08-23"/>
    <m/>
    <x v="1"/>
    <x v="190"/>
    <n v="2"/>
    <x v="4"/>
    <x v="1"/>
    <n v="2"/>
    <n v="7"/>
    <s v="High"/>
  </r>
  <r>
    <x v="191"/>
    <s v="Anita Singh"/>
    <x v="3"/>
    <s v="Logistics Coordinator"/>
    <x v="1"/>
    <n v="34"/>
    <s v="Divorced"/>
    <s v="2018-09-13"/>
    <m/>
    <x v="1"/>
    <x v="191"/>
    <n v="2"/>
    <x v="0"/>
    <x v="1"/>
    <n v="32"/>
    <n v="7.9"/>
    <s v="Medium"/>
  </r>
  <r>
    <x v="192"/>
    <s v="Komal Kapoor"/>
    <x v="2"/>
    <s v="HR Manager"/>
    <x v="1"/>
    <n v="32"/>
    <s v="Single"/>
    <s v="2023-03-21"/>
    <m/>
    <x v="1"/>
    <x v="192"/>
    <n v="2"/>
    <x v="4"/>
    <x v="0"/>
    <n v="35"/>
    <n v="3.4"/>
    <s v="Medium"/>
  </r>
  <r>
    <x v="193"/>
    <s v="Rajesh Verma"/>
    <x v="3"/>
    <s v="Logistics Coordinator"/>
    <x v="0"/>
    <n v="26"/>
    <s v="Divorced"/>
    <s v="2024-03-04"/>
    <s v="2026-04-27"/>
    <x v="0"/>
    <x v="193"/>
    <n v="4"/>
    <x v="3"/>
    <x v="0"/>
    <n v="9"/>
    <n v="2.1"/>
    <s v="N/A"/>
  </r>
  <r>
    <x v="194"/>
    <s v="Rajesh Kapoor"/>
    <x v="1"/>
    <s v="Software Engineer"/>
    <x v="0"/>
    <n v="45"/>
    <s v="Single"/>
    <s v="2015-09-05"/>
    <s v="2022-01-10"/>
    <x v="0"/>
    <x v="194"/>
    <n v="4"/>
    <x v="0"/>
    <x v="0"/>
    <n v="43"/>
    <n v="6.4"/>
    <s v="N/A"/>
  </r>
  <r>
    <x v="195"/>
    <s v="Rajesh Rao"/>
    <x v="4"/>
    <s v="Financial Analyst"/>
    <x v="0"/>
    <n v="56"/>
    <s v="Single"/>
    <s v="2018-03-20"/>
    <m/>
    <x v="1"/>
    <x v="195"/>
    <n v="2"/>
    <x v="2"/>
    <x v="1"/>
    <n v="7"/>
    <n v="8.4"/>
    <s v="Medium"/>
  </r>
  <r>
    <x v="196"/>
    <s v="Sunita Rao"/>
    <x v="1"/>
    <s v="Software Engineer"/>
    <x v="1"/>
    <n v="47"/>
    <s v="Divorced"/>
    <s v="2015-11-20"/>
    <m/>
    <x v="1"/>
    <x v="196"/>
    <n v="4"/>
    <x v="2"/>
    <x v="0"/>
    <n v="37"/>
    <n v="10.7"/>
    <s v="Low"/>
  </r>
  <r>
    <x v="197"/>
    <s v="Vikram Chopra"/>
    <x v="0"/>
    <s v="Marketing Executive"/>
    <x v="0"/>
    <n v="46"/>
    <s v="Single"/>
    <s v="2019-03-25"/>
    <m/>
    <x v="1"/>
    <x v="197"/>
    <n v="1"/>
    <x v="3"/>
    <x v="0"/>
    <n v="45"/>
    <n v="7.4"/>
    <s v="Medium"/>
  </r>
  <r>
    <x v="198"/>
    <s v="Seema Kumar"/>
    <x v="4"/>
    <s v="Finance Manager"/>
    <x v="1"/>
    <n v="55"/>
    <s v="Single"/>
    <s v="2025-04-22"/>
    <m/>
    <x v="1"/>
    <x v="198"/>
    <n v="5"/>
    <x v="4"/>
    <x v="1"/>
    <n v="31"/>
    <n v="1.3"/>
    <s v="High"/>
  </r>
  <r>
    <x v="199"/>
    <s v="Rohan Reddy"/>
    <x v="0"/>
    <s v="Marketing Manager"/>
    <x v="0"/>
    <n v="23"/>
    <s v="Divorced"/>
    <s v="2017-04-28"/>
    <m/>
    <x v="1"/>
    <x v="199"/>
    <n v="1"/>
    <x v="2"/>
    <x v="0"/>
    <n v="20"/>
    <n v="9.3000000000000007"/>
    <s v="Low"/>
  </r>
  <r>
    <x v="200"/>
    <s v="Swati Singh"/>
    <x v="4"/>
    <s v="Finance Manager"/>
    <x v="1"/>
    <n v="27"/>
    <s v="Single"/>
    <s v="2020-08-13"/>
    <m/>
    <x v="1"/>
    <x v="200"/>
    <n v="1"/>
    <x v="1"/>
    <x v="0"/>
    <n v="7"/>
    <n v="6"/>
    <s v="Low"/>
  </r>
  <r>
    <x v="201"/>
    <s v="Rekha Sharma"/>
    <x v="2"/>
    <s v="Recruiter"/>
    <x v="1"/>
    <n v="39"/>
    <s v="Married"/>
    <s v="2023-10-15"/>
    <m/>
    <x v="1"/>
    <x v="201"/>
    <n v="2"/>
    <x v="2"/>
    <x v="0"/>
    <n v="23"/>
    <n v="2.8"/>
    <s v="Low"/>
  </r>
  <r>
    <x v="202"/>
    <s v="Anjali Bhatt"/>
    <x v="0"/>
    <s v="Content Specialist"/>
    <x v="1"/>
    <n v="40"/>
    <s v="Married"/>
    <s v="2023-12-13"/>
    <m/>
    <x v="1"/>
    <x v="202"/>
    <n v="1"/>
    <x v="3"/>
    <x v="1"/>
    <n v="18"/>
    <n v="2.7"/>
    <s v="High"/>
  </r>
  <r>
    <x v="203"/>
    <s v="Rekha Iyer"/>
    <x v="0"/>
    <s v="Marketing Executive"/>
    <x v="1"/>
    <n v="28"/>
    <s v="Married"/>
    <s v="2016-01-10"/>
    <s v="2017-03-02"/>
    <x v="0"/>
    <x v="203"/>
    <n v="4"/>
    <x v="1"/>
    <x v="1"/>
    <n v="24"/>
    <n v="1.1000000000000001"/>
    <s v="N/A"/>
  </r>
  <r>
    <x v="204"/>
    <s v="Ritu Bose"/>
    <x v="1"/>
    <s v="System Analyst"/>
    <x v="1"/>
    <n v="54"/>
    <s v="Divorced"/>
    <s v="2019-07-30"/>
    <m/>
    <x v="1"/>
    <x v="204"/>
    <n v="3"/>
    <x v="3"/>
    <x v="1"/>
    <n v="36"/>
    <n v="7"/>
    <s v="High"/>
  </r>
  <r>
    <x v="205"/>
    <s v="Deepak Malhotra"/>
    <x v="2"/>
    <s v="HR Manager"/>
    <x v="0"/>
    <n v="46"/>
    <s v="Single"/>
    <s v="2023-09-27"/>
    <m/>
    <x v="1"/>
    <x v="205"/>
    <n v="2"/>
    <x v="0"/>
    <x v="1"/>
    <n v="37"/>
    <n v="2.9"/>
    <s v="Medium"/>
  </r>
  <r>
    <x v="206"/>
    <s v="Anita Rao"/>
    <x v="1"/>
    <s v="Software Engineer"/>
    <x v="1"/>
    <n v="53"/>
    <s v="Married"/>
    <s v="2016-08-20"/>
    <m/>
    <x v="1"/>
    <x v="206"/>
    <n v="3"/>
    <x v="2"/>
    <x v="1"/>
    <n v="27"/>
    <n v="10"/>
    <s v="Medium"/>
  </r>
  <r>
    <x v="207"/>
    <s v="Gaurav Bhatt"/>
    <x v="2"/>
    <s v="HR Manager"/>
    <x v="0"/>
    <n v="34"/>
    <s v="Divorced"/>
    <s v="2020-02-19"/>
    <m/>
    <x v="1"/>
    <x v="207"/>
    <n v="1"/>
    <x v="1"/>
    <x v="1"/>
    <n v="26"/>
    <n v="6.5"/>
    <s v="Medium"/>
  </r>
  <r>
    <x v="208"/>
    <s v="Nisha Bhatt"/>
    <x v="2"/>
    <s v="HR Manager"/>
    <x v="1"/>
    <n v="30"/>
    <s v="Married"/>
    <s v="2018-05-15"/>
    <m/>
    <x v="1"/>
    <x v="208"/>
    <n v="4"/>
    <x v="4"/>
    <x v="1"/>
    <n v="21"/>
    <n v="8.1999999999999993"/>
    <s v="High"/>
  </r>
  <r>
    <x v="209"/>
    <s v="Seema Mehta"/>
    <x v="2"/>
    <s v="Recruiter"/>
    <x v="1"/>
    <n v="42"/>
    <s v="Divorced"/>
    <s v="2019-03-21"/>
    <s v="2025-07-01"/>
    <x v="0"/>
    <x v="209"/>
    <n v="3"/>
    <x v="2"/>
    <x v="1"/>
    <n v="8"/>
    <n v="6.3"/>
    <s v="N/A"/>
  </r>
  <r>
    <x v="210"/>
    <s v="Vivek Gupta"/>
    <x v="1"/>
    <s v="IT Support"/>
    <x v="0"/>
    <n v="50"/>
    <s v="Single"/>
    <s v="2023-12-12"/>
    <m/>
    <x v="1"/>
    <x v="210"/>
    <n v="4"/>
    <x v="3"/>
    <x v="1"/>
    <n v="44"/>
    <n v="2.7"/>
    <s v="High"/>
  </r>
  <r>
    <x v="211"/>
    <s v="Ravi Chopra"/>
    <x v="1"/>
    <s v="System Analyst"/>
    <x v="0"/>
    <n v="26"/>
    <s v="Divorced"/>
    <s v="2020-01-14"/>
    <m/>
    <x v="1"/>
    <x v="211"/>
    <n v="5"/>
    <x v="2"/>
    <x v="0"/>
    <n v="26"/>
    <n v="6.6"/>
    <s v="Low"/>
  </r>
  <r>
    <x v="212"/>
    <s v="Ajay Bose"/>
    <x v="0"/>
    <s v="Marketing Manager"/>
    <x v="0"/>
    <n v="27"/>
    <s v="Single"/>
    <s v="2016-03-23"/>
    <m/>
    <x v="1"/>
    <x v="212"/>
    <n v="2"/>
    <x v="1"/>
    <x v="0"/>
    <n v="42"/>
    <n v="10.4"/>
    <s v="Low"/>
  </r>
  <r>
    <x v="213"/>
    <s v="Rekha Malhotra"/>
    <x v="0"/>
    <s v="Content Specialist"/>
    <x v="1"/>
    <n v="28"/>
    <s v="Divorced"/>
    <s v="2015-02-13"/>
    <m/>
    <x v="1"/>
    <x v="213"/>
    <n v="5"/>
    <x v="4"/>
    <x v="1"/>
    <n v="34"/>
    <n v="11.5"/>
    <s v="High"/>
  </r>
  <r>
    <x v="214"/>
    <s v="Swati Kapoor"/>
    <x v="1"/>
    <s v="System Analyst"/>
    <x v="1"/>
    <n v="54"/>
    <s v="Married"/>
    <s v="2016-09-09"/>
    <m/>
    <x v="1"/>
    <x v="214"/>
    <n v="4"/>
    <x v="3"/>
    <x v="1"/>
    <n v="7"/>
    <n v="9.9"/>
    <s v="High"/>
  </r>
  <r>
    <x v="215"/>
    <s v="Ajay Nair"/>
    <x v="5"/>
    <s v="Sales Executive"/>
    <x v="0"/>
    <n v="43"/>
    <s v="Single"/>
    <s v="2020-02-09"/>
    <m/>
    <x v="1"/>
    <x v="215"/>
    <n v="4"/>
    <x v="0"/>
    <x v="0"/>
    <n v="23"/>
    <n v="6.5"/>
    <s v="Low"/>
  </r>
  <r>
    <x v="216"/>
    <s v="Anjali Nair"/>
    <x v="0"/>
    <s v="Marketing Manager"/>
    <x v="1"/>
    <n v="24"/>
    <s v="Divorced"/>
    <s v="2024-02-01"/>
    <m/>
    <x v="1"/>
    <x v="216"/>
    <n v="3"/>
    <x v="3"/>
    <x v="0"/>
    <n v="42"/>
    <n v="2.5"/>
    <s v="Medium"/>
  </r>
  <r>
    <x v="217"/>
    <s v="Sunil Joshi"/>
    <x v="0"/>
    <s v="Marketing Executive"/>
    <x v="0"/>
    <n v="43"/>
    <s v="Single"/>
    <s v="2021-04-12"/>
    <m/>
    <x v="1"/>
    <x v="217"/>
    <n v="2"/>
    <x v="2"/>
    <x v="0"/>
    <n v="26"/>
    <n v="5.3"/>
    <s v="Low"/>
  </r>
  <r>
    <x v="218"/>
    <s v="Priya Bhatt"/>
    <x v="0"/>
    <s v="Marketing Manager"/>
    <x v="1"/>
    <n v="34"/>
    <s v="Married"/>
    <s v="2020-01-16"/>
    <m/>
    <x v="1"/>
    <x v="218"/>
    <n v="1"/>
    <x v="2"/>
    <x v="0"/>
    <n v="14"/>
    <n v="6.6"/>
    <s v="Low"/>
  </r>
  <r>
    <x v="219"/>
    <s v="Sunil Joshi"/>
    <x v="5"/>
    <s v="Account Manager"/>
    <x v="0"/>
    <n v="45"/>
    <s v="Married"/>
    <s v="2018-08-28"/>
    <m/>
    <x v="1"/>
    <x v="219"/>
    <n v="3"/>
    <x v="3"/>
    <x v="1"/>
    <n v="43"/>
    <n v="7.9"/>
    <s v="High"/>
  </r>
  <r>
    <x v="220"/>
    <s v="Nidhi Chopra"/>
    <x v="0"/>
    <s v="Marketing Manager"/>
    <x v="1"/>
    <n v="29"/>
    <s v="Divorced"/>
    <s v="2018-11-26"/>
    <m/>
    <x v="1"/>
    <x v="220"/>
    <n v="5"/>
    <x v="2"/>
    <x v="0"/>
    <n v="12"/>
    <n v="7.7"/>
    <s v="Low"/>
  </r>
  <r>
    <x v="221"/>
    <s v="Arjun Reddy"/>
    <x v="2"/>
    <s v="Recruiter"/>
    <x v="0"/>
    <n v="29"/>
    <s v="Divorced"/>
    <s v="2017-09-04"/>
    <s v="2024-07-11"/>
    <x v="0"/>
    <x v="221"/>
    <n v="3"/>
    <x v="4"/>
    <x v="1"/>
    <n v="45"/>
    <n v="6.9"/>
    <s v="N/A"/>
  </r>
  <r>
    <x v="222"/>
    <s v="Nisha Joshi"/>
    <x v="1"/>
    <s v="IT Support"/>
    <x v="1"/>
    <n v="53"/>
    <s v="Married"/>
    <s v="2022-02-16"/>
    <s v="2024-01-21"/>
    <x v="0"/>
    <x v="222"/>
    <n v="5"/>
    <x v="4"/>
    <x v="0"/>
    <n v="11"/>
    <n v="1.9"/>
    <s v="N/A"/>
  </r>
  <r>
    <x v="223"/>
    <s v="Ajay Sharma"/>
    <x v="4"/>
    <s v="Finance Manager"/>
    <x v="0"/>
    <n v="53"/>
    <s v="Married"/>
    <s v="2016-07-13"/>
    <m/>
    <x v="1"/>
    <x v="223"/>
    <n v="5"/>
    <x v="2"/>
    <x v="1"/>
    <n v="33"/>
    <n v="10.1"/>
    <s v="Medium"/>
  </r>
  <r>
    <x v="224"/>
    <s v="Komal Joshi"/>
    <x v="4"/>
    <s v="Accountant"/>
    <x v="1"/>
    <n v="27"/>
    <s v="Single"/>
    <s v="2021-05-04"/>
    <m/>
    <x v="1"/>
    <x v="224"/>
    <n v="3"/>
    <x v="4"/>
    <x v="1"/>
    <n v="3"/>
    <n v="5.3"/>
    <s v="High"/>
  </r>
  <r>
    <x v="225"/>
    <s v="Ritu Pillai"/>
    <x v="1"/>
    <s v="System Analyst"/>
    <x v="1"/>
    <n v="29"/>
    <s v="Single"/>
    <s v="2021-06-03"/>
    <m/>
    <x v="1"/>
    <x v="225"/>
    <n v="3"/>
    <x v="0"/>
    <x v="1"/>
    <n v="35"/>
    <n v="5.2"/>
    <s v="Medium"/>
  </r>
  <r>
    <x v="226"/>
    <s v="Ravi Kumar"/>
    <x v="4"/>
    <s v="Finance Manager"/>
    <x v="0"/>
    <n v="37"/>
    <s v="Single"/>
    <s v="2018-05-04"/>
    <m/>
    <x v="1"/>
    <x v="226"/>
    <n v="4"/>
    <x v="3"/>
    <x v="0"/>
    <n v="17"/>
    <n v="8.3000000000000007"/>
    <s v="Medium"/>
  </r>
  <r>
    <x v="227"/>
    <s v="Prakash Iyer"/>
    <x v="5"/>
    <s v="Sales Executive"/>
    <x v="0"/>
    <n v="49"/>
    <s v="Married"/>
    <s v="2016-11-10"/>
    <m/>
    <x v="1"/>
    <x v="227"/>
    <n v="2"/>
    <x v="4"/>
    <x v="0"/>
    <n v="4"/>
    <n v="9.6999999999999993"/>
    <s v="Medium"/>
  </r>
  <r>
    <x v="228"/>
    <s v="Anil Nair"/>
    <x v="3"/>
    <s v="Logistics Coordinator"/>
    <x v="0"/>
    <n v="40"/>
    <s v="Married"/>
    <s v="2021-06-03"/>
    <m/>
    <x v="1"/>
    <x v="228"/>
    <n v="1"/>
    <x v="0"/>
    <x v="1"/>
    <n v="9"/>
    <n v="5.2"/>
    <s v="Medium"/>
  </r>
  <r>
    <x v="229"/>
    <s v="Arjun Mehta"/>
    <x v="2"/>
    <s v="Recruiter"/>
    <x v="0"/>
    <n v="31"/>
    <s v="Divorced"/>
    <s v="2022-12-23"/>
    <m/>
    <x v="1"/>
    <x v="229"/>
    <n v="4"/>
    <x v="4"/>
    <x v="1"/>
    <n v="32"/>
    <n v="3.6"/>
    <s v="High"/>
  </r>
  <r>
    <x v="230"/>
    <s v="Rita Patel"/>
    <x v="0"/>
    <s v="Marketing Manager"/>
    <x v="1"/>
    <n v="27"/>
    <s v="Married"/>
    <s v="2019-07-09"/>
    <m/>
    <x v="1"/>
    <x v="230"/>
    <n v="3"/>
    <x v="1"/>
    <x v="0"/>
    <n v="30"/>
    <n v="7.1"/>
    <s v="Low"/>
  </r>
  <r>
    <x v="231"/>
    <s v="Vivek Iyer"/>
    <x v="5"/>
    <s v="Account Manager"/>
    <x v="0"/>
    <n v="26"/>
    <s v="Married"/>
    <s v="2023-12-04"/>
    <s v="2024-11-18"/>
    <x v="0"/>
    <x v="231"/>
    <n v="4"/>
    <x v="4"/>
    <x v="0"/>
    <n v="14"/>
    <n v="1"/>
    <s v="N/A"/>
  </r>
  <r>
    <x v="232"/>
    <s v="Prakash Das"/>
    <x v="2"/>
    <s v="Recruiter"/>
    <x v="0"/>
    <n v="43"/>
    <s v="Married"/>
    <s v="2025-01-10"/>
    <s v="2025-08-19"/>
    <x v="0"/>
    <x v="232"/>
    <n v="1"/>
    <x v="3"/>
    <x v="0"/>
    <n v="7"/>
    <n v="0.6"/>
    <s v="N/A"/>
  </r>
  <r>
    <x v="233"/>
    <s v="Ravi Gupta"/>
    <x v="4"/>
    <s v="Accountant"/>
    <x v="0"/>
    <n v="30"/>
    <s v="Married"/>
    <s v="2024-11-22"/>
    <s v="2026-02-05"/>
    <x v="0"/>
    <x v="233"/>
    <n v="3"/>
    <x v="4"/>
    <x v="0"/>
    <n v="6"/>
    <n v="1.2"/>
    <s v="N/A"/>
  </r>
  <r>
    <x v="234"/>
    <s v="Amit Chopra"/>
    <x v="0"/>
    <s v="Content Specialist"/>
    <x v="0"/>
    <n v="41"/>
    <s v="Divorced"/>
    <s v="2023-02-21"/>
    <s v="2024-07-02"/>
    <x v="0"/>
    <x v="234"/>
    <n v="4"/>
    <x v="4"/>
    <x v="0"/>
    <n v="42"/>
    <n v="1.4"/>
    <s v="N/A"/>
  </r>
  <r>
    <x v="235"/>
    <s v="Prakash Mehta"/>
    <x v="4"/>
    <s v="Financial Analyst"/>
    <x v="0"/>
    <n v="55"/>
    <s v="Married"/>
    <s v="2022-08-17"/>
    <m/>
    <x v="1"/>
    <x v="235"/>
    <n v="3"/>
    <x v="3"/>
    <x v="0"/>
    <n v="8"/>
    <n v="4"/>
    <s v="Medium"/>
  </r>
  <r>
    <x v="236"/>
    <s v="Nikhil Patel"/>
    <x v="4"/>
    <s v="Financial Analyst"/>
    <x v="0"/>
    <n v="28"/>
    <s v="Single"/>
    <s v="2016-02-27"/>
    <m/>
    <x v="1"/>
    <x v="236"/>
    <n v="2"/>
    <x v="1"/>
    <x v="1"/>
    <n v="25"/>
    <n v="10.4"/>
    <s v="Medium"/>
  </r>
  <r>
    <x v="237"/>
    <s v="Rajesh Chauhan"/>
    <x v="0"/>
    <s v="Marketing Executive"/>
    <x v="0"/>
    <n v="22"/>
    <s v="Divorced"/>
    <s v="2021-11-04"/>
    <s v="2024-04-25"/>
    <x v="0"/>
    <x v="237"/>
    <n v="3"/>
    <x v="2"/>
    <x v="0"/>
    <n v="14"/>
    <n v="2.5"/>
    <s v="N/A"/>
  </r>
  <r>
    <x v="238"/>
    <s v="Meena Patel"/>
    <x v="3"/>
    <s v="Logistics Coordinator"/>
    <x v="1"/>
    <n v="28"/>
    <s v="Married"/>
    <s v="2016-07-27"/>
    <m/>
    <x v="1"/>
    <x v="238"/>
    <n v="4"/>
    <x v="0"/>
    <x v="0"/>
    <n v="23"/>
    <n v="10"/>
    <s v="Low"/>
  </r>
  <r>
    <x v="239"/>
    <s v="Sanjay Bose"/>
    <x v="1"/>
    <s v="System Analyst"/>
    <x v="0"/>
    <n v="40"/>
    <s v="Divorced"/>
    <s v="2023-09-26"/>
    <m/>
    <x v="1"/>
    <x v="239"/>
    <n v="3"/>
    <x v="3"/>
    <x v="0"/>
    <n v="14"/>
    <n v="2.9"/>
    <s v="Medium"/>
  </r>
  <r>
    <x v="240"/>
    <s v="Neha Mehta"/>
    <x v="0"/>
    <s v="Marketing Manager"/>
    <x v="1"/>
    <n v="53"/>
    <s v="Single"/>
    <s v="2019-04-30"/>
    <m/>
    <x v="1"/>
    <x v="240"/>
    <n v="5"/>
    <x v="2"/>
    <x v="1"/>
    <n v="5"/>
    <n v="7.3"/>
    <s v="Medium"/>
  </r>
  <r>
    <x v="241"/>
    <s v="Seema Malhotra"/>
    <x v="2"/>
    <s v="HR Executive"/>
    <x v="1"/>
    <n v="45"/>
    <s v="Single"/>
    <s v="2021-02-15"/>
    <s v="2022-07-01"/>
    <x v="0"/>
    <x v="241"/>
    <n v="1"/>
    <x v="2"/>
    <x v="0"/>
    <n v="2"/>
    <n v="1.4"/>
    <s v="N/A"/>
  </r>
  <r>
    <x v="242"/>
    <s v="Payal Nair"/>
    <x v="5"/>
    <s v="Sales Executive"/>
    <x v="1"/>
    <n v="54"/>
    <s v="Divorced"/>
    <s v="2023-08-09"/>
    <m/>
    <x v="1"/>
    <x v="242"/>
    <n v="1"/>
    <x v="2"/>
    <x v="0"/>
    <n v="41"/>
    <n v="3"/>
    <s v="Low"/>
  </r>
  <r>
    <x v="243"/>
    <s v="Anjali Pillai"/>
    <x v="2"/>
    <s v="HR Executive"/>
    <x v="1"/>
    <n v="35"/>
    <s v="Divorced"/>
    <s v="2024-01-23"/>
    <m/>
    <x v="1"/>
    <x v="243"/>
    <n v="4"/>
    <x v="1"/>
    <x v="1"/>
    <n v="38"/>
    <n v="2.5"/>
    <s v="Medium"/>
  </r>
  <r>
    <x v="244"/>
    <s v="Divya Verma"/>
    <x v="5"/>
    <s v="Sales Manager"/>
    <x v="1"/>
    <n v="37"/>
    <s v="Single"/>
    <s v="2015-12-20"/>
    <s v="2024-06-12"/>
    <x v="0"/>
    <x v="244"/>
    <n v="4"/>
    <x v="3"/>
    <x v="0"/>
    <n v="40"/>
    <n v="8.5"/>
    <s v="N/A"/>
  </r>
  <r>
    <x v="245"/>
    <s v="Suresh Sharma"/>
    <x v="0"/>
    <s v="Content Specialist"/>
    <x v="0"/>
    <n v="30"/>
    <s v="Divorced"/>
    <s v="2022-11-13"/>
    <s v="2025-02-11"/>
    <x v="0"/>
    <x v="245"/>
    <n v="3"/>
    <x v="2"/>
    <x v="1"/>
    <n v="34"/>
    <n v="2.2000000000000002"/>
    <s v="N/A"/>
  </r>
  <r>
    <x v="246"/>
    <s v="Pooja Sharma"/>
    <x v="1"/>
    <s v="IT Support"/>
    <x v="1"/>
    <n v="43"/>
    <s v="Divorced"/>
    <s v="2024-01-19"/>
    <m/>
    <x v="1"/>
    <x v="246"/>
    <n v="1"/>
    <x v="0"/>
    <x v="0"/>
    <n v="17"/>
    <n v="2.6"/>
    <s v="Low"/>
  </r>
  <r>
    <x v="247"/>
    <s v="Neha Das"/>
    <x v="4"/>
    <s v="Accountant"/>
    <x v="1"/>
    <n v="58"/>
    <s v="Divorced"/>
    <s v="2016-11-14"/>
    <s v="2025-05-05"/>
    <x v="0"/>
    <x v="247"/>
    <n v="1"/>
    <x v="1"/>
    <x v="0"/>
    <n v="37"/>
    <n v="8.5"/>
    <s v="N/A"/>
  </r>
  <r>
    <x v="248"/>
    <s v="Rahul Mehta"/>
    <x v="3"/>
    <s v="Operations Executive"/>
    <x v="0"/>
    <n v="24"/>
    <s v="Divorced"/>
    <s v="2020-04-16"/>
    <m/>
    <x v="1"/>
    <x v="248"/>
    <n v="2"/>
    <x v="4"/>
    <x v="0"/>
    <n v="3"/>
    <n v="6.3"/>
    <s v="Medium"/>
  </r>
  <r>
    <x v="249"/>
    <s v="Divya Malhotra"/>
    <x v="4"/>
    <s v="Financial Analyst"/>
    <x v="1"/>
    <n v="42"/>
    <s v="Divorced"/>
    <s v="2018-01-16"/>
    <m/>
    <x v="1"/>
    <x v="249"/>
    <n v="3"/>
    <x v="0"/>
    <x v="0"/>
    <n v="8"/>
    <n v="8.6"/>
    <s v="Low"/>
  </r>
  <r>
    <x v="250"/>
    <s v="Nikhil Patel"/>
    <x v="1"/>
    <s v="Software Engineer"/>
    <x v="0"/>
    <n v="51"/>
    <s v="Married"/>
    <s v="2024-09-17"/>
    <s v="2025-06-09"/>
    <x v="0"/>
    <x v="250"/>
    <n v="3"/>
    <x v="1"/>
    <x v="1"/>
    <n v="6"/>
    <n v="0.7"/>
    <s v="N/A"/>
  </r>
  <r>
    <x v="251"/>
    <s v="Nidhi Mehta"/>
    <x v="2"/>
    <s v="Recruiter"/>
    <x v="1"/>
    <n v="51"/>
    <s v="Single"/>
    <s v="2019-02-17"/>
    <s v="2023-11-22"/>
    <x v="0"/>
    <x v="251"/>
    <n v="2"/>
    <x v="2"/>
    <x v="0"/>
    <n v="35"/>
    <n v="4.8"/>
    <s v="N/A"/>
  </r>
  <r>
    <x v="252"/>
    <s v="Priya Reddy"/>
    <x v="5"/>
    <s v="Sales Executive"/>
    <x v="1"/>
    <n v="22"/>
    <s v="Single"/>
    <s v="2023-07-06"/>
    <m/>
    <x v="1"/>
    <x v="252"/>
    <n v="1"/>
    <x v="1"/>
    <x v="0"/>
    <n v="14"/>
    <n v="3.1"/>
    <s v="Low"/>
  </r>
  <r>
    <x v="253"/>
    <s v="Anjali Verma"/>
    <x v="5"/>
    <s v="Sales Executive"/>
    <x v="1"/>
    <n v="36"/>
    <s v="Single"/>
    <s v="2025-01-23"/>
    <m/>
    <x v="1"/>
    <x v="253"/>
    <n v="3"/>
    <x v="2"/>
    <x v="0"/>
    <n v="30"/>
    <n v="1.5"/>
    <s v="Low"/>
  </r>
  <r>
    <x v="254"/>
    <s v="Anjali Chauhan"/>
    <x v="3"/>
    <s v="Operations Executive"/>
    <x v="1"/>
    <n v="58"/>
    <s v="Married"/>
    <s v="2015-09-13"/>
    <m/>
    <x v="1"/>
    <x v="254"/>
    <n v="2"/>
    <x v="4"/>
    <x v="0"/>
    <n v="19"/>
    <n v="10.9"/>
    <s v="Medium"/>
  </r>
  <r>
    <x v="255"/>
    <s v="Rekha Kapoor"/>
    <x v="4"/>
    <s v="Finance Manager"/>
    <x v="1"/>
    <n v="39"/>
    <s v="Single"/>
    <s v="2017-08-14"/>
    <s v="2022-10-28"/>
    <x v="0"/>
    <x v="255"/>
    <n v="2"/>
    <x v="4"/>
    <x v="1"/>
    <n v="38"/>
    <n v="5.2"/>
    <s v="N/A"/>
  </r>
  <r>
    <x v="256"/>
    <s v="Pooja Bose"/>
    <x v="4"/>
    <s v="Accountant"/>
    <x v="1"/>
    <n v="44"/>
    <s v="Single"/>
    <s v="2023-08-22"/>
    <s v="2026-01-24"/>
    <x v="0"/>
    <x v="256"/>
    <n v="4"/>
    <x v="1"/>
    <x v="1"/>
    <n v="17"/>
    <n v="2.4"/>
    <s v="N/A"/>
  </r>
  <r>
    <x v="257"/>
    <s v="Karan Reddy"/>
    <x v="0"/>
    <s v="Marketing Manager"/>
    <x v="0"/>
    <n v="31"/>
    <s v="Divorced"/>
    <s v="2016-01-09"/>
    <m/>
    <x v="1"/>
    <x v="257"/>
    <n v="4"/>
    <x v="1"/>
    <x v="0"/>
    <n v="33"/>
    <n v="10.6"/>
    <s v="Low"/>
  </r>
  <r>
    <x v="258"/>
    <s v="Rita Bose"/>
    <x v="1"/>
    <s v="Software Engineer"/>
    <x v="1"/>
    <n v="57"/>
    <s v="Single"/>
    <s v="2017-10-20"/>
    <m/>
    <x v="1"/>
    <x v="258"/>
    <n v="2"/>
    <x v="3"/>
    <x v="1"/>
    <n v="8"/>
    <n v="8.8000000000000007"/>
    <s v="High"/>
  </r>
  <r>
    <x v="259"/>
    <s v="Nikhil Iyer"/>
    <x v="1"/>
    <s v="Software Engineer"/>
    <x v="0"/>
    <n v="27"/>
    <s v="Divorced"/>
    <s v="2021-07-13"/>
    <m/>
    <x v="1"/>
    <x v="259"/>
    <n v="1"/>
    <x v="3"/>
    <x v="0"/>
    <n v="5"/>
    <n v="5.0999999999999996"/>
    <s v="Medium"/>
  </r>
  <r>
    <x v="260"/>
    <s v="Pooja Verma"/>
    <x v="1"/>
    <s v="Software Engineer"/>
    <x v="1"/>
    <n v="51"/>
    <s v="Single"/>
    <s v="2015-07-27"/>
    <m/>
    <x v="1"/>
    <x v="260"/>
    <n v="4"/>
    <x v="0"/>
    <x v="1"/>
    <n v="26"/>
    <n v="11"/>
    <s v="Medium"/>
  </r>
  <r>
    <x v="261"/>
    <s v="Meena Joshi"/>
    <x v="4"/>
    <s v="Financial Analyst"/>
    <x v="1"/>
    <n v="39"/>
    <s v="Divorced"/>
    <s v="2018-02-20"/>
    <s v="2021-08-11"/>
    <x v="0"/>
    <x v="261"/>
    <n v="1"/>
    <x v="4"/>
    <x v="0"/>
    <n v="40"/>
    <n v="3.5"/>
    <s v="N/A"/>
  </r>
  <r>
    <x v="262"/>
    <s v="Neha Patel"/>
    <x v="4"/>
    <s v="Accountant"/>
    <x v="1"/>
    <n v="39"/>
    <s v="Divorced"/>
    <s v="2019-04-18"/>
    <m/>
    <x v="1"/>
    <x v="262"/>
    <n v="5"/>
    <x v="4"/>
    <x v="1"/>
    <n v="16"/>
    <n v="7.3"/>
    <s v="High"/>
  </r>
  <r>
    <x v="263"/>
    <s v="Komal Bose"/>
    <x v="4"/>
    <s v="Finance Manager"/>
    <x v="1"/>
    <n v="53"/>
    <s v="Single"/>
    <s v="2018-11-10"/>
    <s v="2025-09-19"/>
    <x v="0"/>
    <x v="263"/>
    <n v="3"/>
    <x v="0"/>
    <x v="0"/>
    <n v="25"/>
    <n v="6.9"/>
    <s v="N/A"/>
  </r>
  <r>
    <x v="264"/>
    <s v="Neha Das"/>
    <x v="1"/>
    <s v="Software Engineer"/>
    <x v="1"/>
    <n v="55"/>
    <s v="Divorced"/>
    <s v="2019-01-04"/>
    <s v="2025-02-26"/>
    <x v="0"/>
    <x v="264"/>
    <n v="2"/>
    <x v="4"/>
    <x v="0"/>
    <n v="7"/>
    <n v="6.2"/>
    <s v="N/A"/>
  </r>
  <r>
    <x v="265"/>
    <s v="Prakash Chopra"/>
    <x v="0"/>
    <s v="Marketing Executive"/>
    <x v="0"/>
    <n v="44"/>
    <s v="Married"/>
    <s v="2025-06-27"/>
    <m/>
    <x v="1"/>
    <x v="265"/>
    <n v="2"/>
    <x v="4"/>
    <x v="0"/>
    <n v="16"/>
    <n v="1.1000000000000001"/>
    <s v="Medium"/>
  </r>
  <r>
    <x v="266"/>
    <s v="Ajay Chauhan"/>
    <x v="0"/>
    <s v="Marketing Manager"/>
    <x v="0"/>
    <n v="58"/>
    <s v="Single"/>
    <s v="2016-08-05"/>
    <m/>
    <x v="1"/>
    <x v="266"/>
    <n v="4"/>
    <x v="4"/>
    <x v="0"/>
    <n v="35"/>
    <n v="10"/>
    <s v="Medium"/>
  </r>
  <r>
    <x v="267"/>
    <s v="Ashok Mehta"/>
    <x v="5"/>
    <s v="Sales Executive"/>
    <x v="0"/>
    <n v="23"/>
    <s v="Single"/>
    <s v="2020-11-26"/>
    <m/>
    <x v="1"/>
    <x v="267"/>
    <n v="5"/>
    <x v="1"/>
    <x v="0"/>
    <n v="13"/>
    <n v="5.7"/>
    <s v="Low"/>
  </r>
  <r>
    <x v="268"/>
    <s v="Rahul Singh"/>
    <x v="1"/>
    <s v="System Analyst"/>
    <x v="0"/>
    <n v="31"/>
    <s v="Divorced"/>
    <s v="2023-09-07"/>
    <m/>
    <x v="1"/>
    <x v="268"/>
    <n v="3"/>
    <x v="0"/>
    <x v="1"/>
    <n v="5"/>
    <n v="2.9"/>
    <s v="Medium"/>
  </r>
  <r>
    <x v="269"/>
    <s v="Anil Nair"/>
    <x v="4"/>
    <s v="Finance Manager"/>
    <x v="0"/>
    <n v="42"/>
    <s v="Single"/>
    <s v="2016-07-12"/>
    <m/>
    <x v="1"/>
    <x v="269"/>
    <n v="4"/>
    <x v="2"/>
    <x v="0"/>
    <n v="42"/>
    <n v="10.1"/>
    <s v="Low"/>
  </r>
  <r>
    <x v="270"/>
    <s v="Divya Chauhan"/>
    <x v="3"/>
    <s v="Logistics Coordinator"/>
    <x v="1"/>
    <n v="33"/>
    <s v="Single"/>
    <s v="2019-03-30"/>
    <m/>
    <x v="1"/>
    <x v="270"/>
    <n v="2"/>
    <x v="1"/>
    <x v="1"/>
    <n v="12"/>
    <n v="7.4"/>
    <s v="Medium"/>
  </r>
  <r>
    <x v="271"/>
    <s v="Rohan Bhatt"/>
    <x v="3"/>
    <s v="Operations Manager"/>
    <x v="0"/>
    <n v="42"/>
    <s v="Single"/>
    <s v="2025-04-30"/>
    <m/>
    <x v="1"/>
    <x v="271"/>
    <n v="2"/>
    <x v="0"/>
    <x v="0"/>
    <n v="41"/>
    <n v="1.3"/>
    <s v="Low"/>
  </r>
  <r>
    <x v="272"/>
    <s v="Sanjay Iyer"/>
    <x v="1"/>
    <s v="System Analyst"/>
    <x v="0"/>
    <n v="42"/>
    <s v="Married"/>
    <s v="2016-11-18"/>
    <s v="2024-10-26"/>
    <x v="0"/>
    <x v="272"/>
    <n v="3"/>
    <x v="3"/>
    <x v="0"/>
    <n v="29"/>
    <n v="7.9"/>
    <s v="N/A"/>
  </r>
  <r>
    <x v="273"/>
    <s v="Pooja Sharma"/>
    <x v="5"/>
    <s v="Sales Manager"/>
    <x v="1"/>
    <n v="25"/>
    <s v="Married"/>
    <s v="2019-04-30"/>
    <m/>
    <x v="1"/>
    <x v="273"/>
    <n v="2"/>
    <x v="2"/>
    <x v="0"/>
    <n v="27"/>
    <n v="7.3"/>
    <s v="Low"/>
  </r>
  <r>
    <x v="274"/>
    <s v="Seema Mehta"/>
    <x v="4"/>
    <s v="Financial Analyst"/>
    <x v="1"/>
    <n v="32"/>
    <s v="Married"/>
    <s v="2020-01-23"/>
    <m/>
    <x v="1"/>
    <x v="274"/>
    <n v="3"/>
    <x v="3"/>
    <x v="1"/>
    <n v="2"/>
    <n v="6.5"/>
    <s v="High"/>
  </r>
  <r>
    <x v="275"/>
    <s v="Nikhil Joshi"/>
    <x v="5"/>
    <s v="Sales Manager"/>
    <x v="0"/>
    <n v="26"/>
    <s v="Married"/>
    <s v="2021-02-18"/>
    <m/>
    <x v="1"/>
    <x v="275"/>
    <n v="3"/>
    <x v="3"/>
    <x v="0"/>
    <n v="39"/>
    <n v="5.5"/>
    <s v="Medium"/>
  </r>
  <r>
    <x v="276"/>
    <s v="Ashok Malhotra"/>
    <x v="4"/>
    <s v="Finance Manager"/>
    <x v="0"/>
    <n v="32"/>
    <s v="Divorced"/>
    <s v="2015-08-08"/>
    <m/>
    <x v="1"/>
    <x v="276"/>
    <n v="2"/>
    <x v="4"/>
    <x v="1"/>
    <n v="27"/>
    <n v="11"/>
    <s v="High"/>
  </r>
  <r>
    <x v="277"/>
    <s v="Anita Nair"/>
    <x v="0"/>
    <s v="Content Specialist"/>
    <x v="1"/>
    <n v="37"/>
    <s v="Single"/>
    <s v="2016-01-28"/>
    <m/>
    <x v="1"/>
    <x v="277"/>
    <n v="5"/>
    <x v="0"/>
    <x v="1"/>
    <n v="32"/>
    <n v="10.5"/>
    <s v="Medium"/>
  </r>
  <r>
    <x v="278"/>
    <s v="Nidhi Das"/>
    <x v="4"/>
    <s v="Financial Analyst"/>
    <x v="1"/>
    <n v="34"/>
    <s v="Single"/>
    <s v="2016-02-02"/>
    <s v="2020-09-16"/>
    <x v="0"/>
    <x v="278"/>
    <n v="3"/>
    <x v="4"/>
    <x v="1"/>
    <n v="6"/>
    <n v="4.5999999999999996"/>
    <s v="N/A"/>
  </r>
  <r>
    <x v="279"/>
    <s v="Anjali Bose"/>
    <x v="4"/>
    <s v="Accountant"/>
    <x v="1"/>
    <n v="46"/>
    <s v="Single"/>
    <s v="2017-01-27"/>
    <m/>
    <x v="1"/>
    <x v="279"/>
    <n v="3"/>
    <x v="2"/>
    <x v="0"/>
    <n v="12"/>
    <n v="9.5"/>
    <s v="Low"/>
  </r>
  <r>
    <x v="280"/>
    <s v="Manoj Chauhan"/>
    <x v="4"/>
    <s v="Accountant"/>
    <x v="0"/>
    <n v="25"/>
    <s v="Divorced"/>
    <s v="2016-09-11"/>
    <m/>
    <x v="1"/>
    <x v="280"/>
    <n v="1"/>
    <x v="3"/>
    <x v="0"/>
    <n v="43"/>
    <n v="9.9"/>
    <s v="Medium"/>
  </r>
  <r>
    <x v="281"/>
    <s v="Nikhil Pillai"/>
    <x v="3"/>
    <s v="Operations Executive"/>
    <x v="0"/>
    <n v="48"/>
    <s v="Married"/>
    <s v="2021-01-02"/>
    <s v="2026-03-25"/>
    <x v="0"/>
    <x v="281"/>
    <n v="5"/>
    <x v="2"/>
    <x v="0"/>
    <n v="16"/>
    <n v="5.2"/>
    <s v="N/A"/>
  </r>
  <r>
    <x v="282"/>
    <s v="Suresh Kapoor"/>
    <x v="0"/>
    <s v="Marketing Executive"/>
    <x v="0"/>
    <n v="33"/>
    <s v="Single"/>
    <s v="2016-11-15"/>
    <m/>
    <x v="1"/>
    <x v="282"/>
    <n v="2"/>
    <x v="4"/>
    <x v="0"/>
    <n v="3"/>
    <n v="9.6999999999999993"/>
    <s v="Medium"/>
  </r>
  <r>
    <x v="283"/>
    <s v="Ashok Rao"/>
    <x v="4"/>
    <s v="Financial Analyst"/>
    <x v="0"/>
    <n v="42"/>
    <s v="Married"/>
    <s v="2025-03-19"/>
    <m/>
    <x v="1"/>
    <x v="283"/>
    <n v="1"/>
    <x v="3"/>
    <x v="0"/>
    <n v="25"/>
    <n v="1.4"/>
    <s v="Medium"/>
  </r>
  <r>
    <x v="284"/>
    <s v="Priya Bhatt"/>
    <x v="2"/>
    <s v="Recruiter"/>
    <x v="1"/>
    <n v="55"/>
    <s v="Divorced"/>
    <s v="2023-10-07"/>
    <m/>
    <x v="1"/>
    <x v="284"/>
    <n v="2"/>
    <x v="2"/>
    <x v="0"/>
    <n v="10"/>
    <n v="2.8"/>
    <s v="Low"/>
  </r>
  <r>
    <x v="285"/>
    <s v="Deepak Bose"/>
    <x v="5"/>
    <s v="Sales Executive"/>
    <x v="0"/>
    <n v="44"/>
    <s v="Married"/>
    <s v="2024-11-04"/>
    <s v="2025-10-12"/>
    <x v="0"/>
    <x v="285"/>
    <n v="4"/>
    <x v="2"/>
    <x v="0"/>
    <n v="37"/>
    <n v="0.9"/>
    <s v="N/A"/>
  </r>
  <r>
    <x v="286"/>
    <s v="Neha Chopra"/>
    <x v="4"/>
    <s v="Financial Analyst"/>
    <x v="1"/>
    <n v="43"/>
    <s v="Married"/>
    <s v="2022-09-29"/>
    <m/>
    <x v="1"/>
    <x v="286"/>
    <n v="3"/>
    <x v="2"/>
    <x v="1"/>
    <n v="24"/>
    <n v="3.9"/>
    <s v="Medium"/>
  </r>
  <r>
    <x v="287"/>
    <s v="Komal Kumar"/>
    <x v="2"/>
    <s v="HR Manager"/>
    <x v="1"/>
    <n v="36"/>
    <s v="Married"/>
    <s v="2016-07-04"/>
    <m/>
    <x v="1"/>
    <x v="287"/>
    <n v="3"/>
    <x v="2"/>
    <x v="1"/>
    <n v="18"/>
    <n v="10.1"/>
    <s v="Medium"/>
  </r>
  <r>
    <x v="288"/>
    <s v="Meena Malhotra"/>
    <x v="5"/>
    <s v="Sales Executive"/>
    <x v="1"/>
    <n v="53"/>
    <s v="Single"/>
    <s v="2023-07-08"/>
    <s v="2026-07-09"/>
    <x v="0"/>
    <x v="288"/>
    <n v="1"/>
    <x v="1"/>
    <x v="0"/>
    <n v="33"/>
    <n v="3"/>
    <s v="N/A"/>
  </r>
  <r>
    <x v="289"/>
    <s v="Rohan Gupta"/>
    <x v="4"/>
    <s v="Financial Analyst"/>
    <x v="0"/>
    <n v="34"/>
    <s v="Married"/>
    <s v="2024-05-21"/>
    <m/>
    <x v="1"/>
    <x v="289"/>
    <n v="4"/>
    <x v="3"/>
    <x v="1"/>
    <n v="4"/>
    <n v="2.2000000000000002"/>
    <s v="High"/>
  </r>
  <r>
    <x v="290"/>
    <s v="Payal Chopra"/>
    <x v="2"/>
    <s v="HR Manager"/>
    <x v="1"/>
    <n v="29"/>
    <s v="Single"/>
    <s v="2022-08-22"/>
    <m/>
    <x v="1"/>
    <x v="290"/>
    <n v="4"/>
    <x v="1"/>
    <x v="1"/>
    <n v="39"/>
    <n v="4"/>
    <s v="Medium"/>
  </r>
  <r>
    <x v="291"/>
    <s v="Sunita Joshi"/>
    <x v="4"/>
    <s v="Finance Manager"/>
    <x v="1"/>
    <n v="38"/>
    <s v="Single"/>
    <s v="2023-05-26"/>
    <s v="2024-10-05"/>
    <x v="0"/>
    <x v="291"/>
    <n v="3"/>
    <x v="3"/>
    <x v="0"/>
    <n v="2"/>
    <n v="1.4"/>
    <s v="N/A"/>
  </r>
  <r>
    <x v="292"/>
    <s v="Karan Rao"/>
    <x v="1"/>
    <s v="IT Support"/>
    <x v="0"/>
    <n v="48"/>
    <s v="Single"/>
    <s v="2020-10-03"/>
    <m/>
    <x v="1"/>
    <x v="292"/>
    <n v="4"/>
    <x v="3"/>
    <x v="1"/>
    <n v="9"/>
    <n v="5.8"/>
    <s v="High"/>
  </r>
  <r>
    <x v="293"/>
    <s v="Nidhi Nair"/>
    <x v="5"/>
    <s v="Sales Executive"/>
    <x v="1"/>
    <n v="39"/>
    <s v="Married"/>
    <s v="2019-10-02"/>
    <m/>
    <x v="1"/>
    <x v="293"/>
    <n v="4"/>
    <x v="1"/>
    <x v="0"/>
    <n v="17"/>
    <n v="6.9"/>
    <s v="Low"/>
  </r>
  <r>
    <x v="294"/>
    <s v="Seema Kumar"/>
    <x v="3"/>
    <s v="Logistics Coordinator"/>
    <x v="1"/>
    <n v="22"/>
    <s v="Divorced"/>
    <s v="2020-09-26"/>
    <m/>
    <x v="1"/>
    <x v="294"/>
    <n v="5"/>
    <x v="1"/>
    <x v="0"/>
    <n v="42"/>
    <n v="5.9"/>
    <s v="Low"/>
  </r>
  <r>
    <x v="295"/>
    <s v="Anjali Reddy"/>
    <x v="0"/>
    <s v="Marketing Executive"/>
    <x v="1"/>
    <n v="39"/>
    <s v="Divorced"/>
    <s v="2022-03-08"/>
    <s v="2023-03-10"/>
    <x v="0"/>
    <x v="295"/>
    <n v="3"/>
    <x v="1"/>
    <x v="1"/>
    <n v="42"/>
    <n v="1"/>
    <s v="N/A"/>
  </r>
  <r>
    <x v="296"/>
    <s v="Ashok Chopra"/>
    <x v="3"/>
    <s v="Operations Executive"/>
    <x v="0"/>
    <n v="42"/>
    <s v="Married"/>
    <s v="2022-08-20"/>
    <s v="2022-12-30"/>
    <x v="0"/>
    <x v="296"/>
    <n v="4"/>
    <x v="3"/>
    <x v="1"/>
    <n v="19"/>
    <n v="0.4"/>
    <s v="N/A"/>
  </r>
  <r>
    <x v="297"/>
    <s v="Anil Mehta"/>
    <x v="3"/>
    <s v="Logistics Coordinator"/>
    <x v="0"/>
    <n v="56"/>
    <s v="Single"/>
    <s v="2022-02-27"/>
    <m/>
    <x v="1"/>
    <x v="297"/>
    <n v="5"/>
    <x v="1"/>
    <x v="0"/>
    <n v="20"/>
    <n v="4.4000000000000004"/>
    <s v="Low"/>
  </r>
  <r>
    <x v="298"/>
    <s v="Pooja Das"/>
    <x v="3"/>
    <s v="Operations Executive"/>
    <x v="1"/>
    <n v="30"/>
    <s v="Married"/>
    <s v="2023-04-23"/>
    <m/>
    <x v="1"/>
    <x v="298"/>
    <n v="2"/>
    <x v="0"/>
    <x v="1"/>
    <n v="44"/>
    <n v="3.3"/>
    <s v="Medium"/>
  </r>
  <r>
    <x v="299"/>
    <s v="Deepak Malhotra"/>
    <x v="1"/>
    <s v="System Analyst"/>
    <x v="0"/>
    <n v="43"/>
    <s v="Single"/>
    <s v="2019-03-03"/>
    <m/>
    <x v="1"/>
    <x v="299"/>
    <n v="4"/>
    <x v="1"/>
    <x v="1"/>
    <n v="8"/>
    <n v="7.4"/>
    <s v="Medium"/>
  </r>
  <r>
    <x v="300"/>
    <s v="Gaurav Gupta"/>
    <x v="3"/>
    <s v="Logistics Coordinator"/>
    <x v="0"/>
    <n v="54"/>
    <s v="Single"/>
    <s v="2016-05-05"/>
    <m/>
    <x v="1"/>
    <x v="300"/>
    <n v="5"/>
    <x v="2"/>
    <x v="0"/>
    <n v="20"/>
    <n v="10.3"/>
    <s v="Low"/>
  </r>
  <r>
    <x v="301"/>
    <s v="Anil Malhotra"/>
    <x v="1"/>
    <s v="Software Engineer"/>
    <x v="0"/>
    <n v="58"/>
    <s v="Divorced"/>
    <s v="2025-01-05"/>
    <m/>
    <x v="1"/>
    <x v="301"/>
    <n v="2"/>
    <x v="2"/>
    <x v="0"/>
    <n v="21"/>
    <n v="1.6"/>
    <s v="Low"/>
  </r>
  <r>
    <x v="302"/>
    <s v="Kavita Reddy"/>
    <x v="5"/>
    <s v="Sales Manager"/>
    <x v="1"/>
    <n v="25"/>
    <s v="Single"/>
    <s v="2015-01-20"/>
    <m/>
    <x v="1"/>
    <x v="302"/>
    <n v="2"/>
    <x v="4"/>
    <x v="0"/>
    <n v="37"/>
    <n v="11.6"/>
    <s v="Medium"/>
  </r>
  <r>
    <x v="303"/>
    <s v="Nisha Chopra"/>
    <x v="5"/>
    <s v="Sales Executive"/>
    <x v="1"/>
    <n v="49"/>
    <s v="Married"/>
    <s v="2020-05-09"/>
    <m/>
    <x v="1"/>
    <x v="303"/>
    <n v="5"/>
    <x v="3"/>
    <x v="0"/>
    <n v="13"/>
    <n v="6.2"/>
    <s v="Medium"/>
  </r>
  <r>
    <x v="304"/>
    <s v="Rahul Sharma"/>
    <x v="2"/>
    <s v="Recruiter"/>
    <x v="0"/>
    <n v="37"/>
    <s v="Married"/>
    <s v="2017-07-15"/>
    <m/>
    <x v="1"/>
    <x v="304"/>
    <n v="3"/>
    <x v="1"/>
    <x v="0"/>
    <n v="9"/>
    <n v="9.1"/>
    <s v="Low"/>
  </r>
  <r>
    <x v="305"/>
    <s v="Amit Nair"/>
    <x v="2"/>
    <s v="HR Executive"/>
    <x v="0"/>
    <n v="40"/>
    <s v="Divorced"/>
    <s v="2020-02-11"/>
    <m/>
    <x v="1"/>
    <x v="305"/>
    <n v="5"/>
    <x v="0"/>
    <x v="0"/>
    <n v="22"/>
    <n v="6.5"/>
    <s v="Low"/>
  </r>
  <r>
    <x v="306"/>
    <s v="Meena Joshi"/>
    <x v="2"/>
    <s v="HR Manager"/>
    <x v="1"/>
    <n v="47"/>
    <s v="Divorced"/>
    <s v="2015-03-20"/>
    <s v="2023-08-08"/>
    <x v="0"/>
    <x v="306"/>
    <n v="2"/>
    <x v="4"/>
    <x v="1"/>
    <n v="2"/>
    <n v="8.4"/>
    <s v="N/A"/>
  </r>
  <r>
    <x v="307"/>
    <s v="Nikhil Rao"/>
    <x v="0"/>
    <s v="Content Specialist"/>
    <x v="0"/>
    <n v="56"/>
    <s v="Single"/>
    <s v="2021-12-27"/>
    <s v="2022-10-20"/>
    <x v="0"/>
    <x v="307"/>
    <n v="1"/>
    <x v="3"/>
    <x v="1"/>
    <n v="42"/>
    <n v="0.8"/>
    <s v="N/A"/>
  </r>
  <r>
    <x v="308"/>
    <s v="Pooja Bose"/>
    <x v="4"/>
    <s v="Accountant"/>
    <x v="1"/>
    <n v="38"/>
    <s v="Divorced"/>
    <s v="2020-04-27"/>
    <s v="2026-04-27"/>
    <x v="0"/>
    <x v="308"/>
    <n v="1"/>
    <x v="4"/>
    <x v="0"/>
    <n v="20"/>
    <n v="6"/>
    <s v="N/A"/>
  </r>
  <r>
    <x v="309"/>
    <s v="Ravi Kumar"/>
    <x v="2"/>
    <s v="Recruiter"/>
    <x v="0"/>
    <n v="54"/>
    <s v="Single"/>
    <s v="2023-01-23"/>
    <m/>
    <x v="1"/>
    <x v="309"/>
    <n v="1"/>
    <x v="1"/>
    <x v="0"/>
    <n v="7"/>
    <n v="3.5"/>
    <s v="Low"/>
  </r>
  <r>
    <x v="310"/>
    <s v="Ajay Malhotra"/>
    <x v="2"/>
    <s v="Recruiter"/>
    <x v="0"/>
    <n v="40"/>
    <s v="Married"/>
    <s v="2016-10-18"/>
    <m/>
    <x v="1"/>
    <x v="310"/>
    <n v="2"/>
    <x v="2"/>
    <x v="1"/>
    <n v="45"/>
    <n v="9.8000000000000007"/>
    <s v="Medium"/>
  </r>
  <r>
    <x v="311"/>
    <s v="Suresh Chauhan"/>
    <x v="5"/>
    <s v="Sales Executive"/>
    <x v="0"/>
    <n v="53"/>
    <s v="Married"/>
    <s v="2016-09-02"/>
    <m/>
    <x v="1"/>
    <x v="311"/>
    <n v="1"/>
    <x v="0"/>
    <x v="0"/>
    <n v="7"/>
    <n v="9.9"/>
    <s v="Low"/>
  </r>
  <r>
    <x v="312"/>
    <s v="Rita Verma"/>
    <x v="4"/>
    <s v="Accountant"/>
    <x v="1"/>
    <n v="28"/>
    <s v="Divorced"/>
    <s v="2024-02-13"/>
    <s v="2026-05-09"/>
    <x v="0"/>
    <x v="312"/>
    <n v="3"/>
    <x v="3"/>
    <x v="1"/>
    <n v="24"/>
    <n v="2.2000000000000002"/>
    <s v="N/A"/>
  </r>
  <r>
    <x v="313"/>
    <s v="Rahul Singh"/>
    <x v="5"/>
    <s v="Sales Executive"/>
    <x v="0"/>
    <n v="32"/>
    <s v="Divorced"/>
    <s v="2018-09-08"/>
    <s v="2022-09-10"/>
    <x v="0"/>
    <x v="313"/>
    <n v="5"/>
    <x v="2"/>
    <x v="0"/>
    <n v="18"/>
    <n v="4"/>
    <s v="N/A"/>
  </r>
  <r>
    <x v="314"/>
    <s v="Swati Kapoor"/>
    <x v="1"/>
    <s v="Software Engineer"/>
    <x v="1"/>
    <n v="39"/>
    <s v="Single"/>
    <s v="2024-05-16"/>
    <s v="2026-06-27"/>
    <x v="0"/>
    <x v="314"/>
    <n v="4"/>
    <x v="2"/>
    <x v="0"/>
    <n v="42"/>
    <n v="2.1"/>
    <s v="N/A"/>
  </r>
  <r>
    <x v="315"/>
    <s v="Suresh Malhotra"/>
    <x v="0"/>
    <s v="Marketing Executive"/>
    <x v="0"/>
    <n v="52"/>
    <s v="Married"/>
    <s v="2023-12-31"/>
    <m/>
    <x v="1"/>
    <x v="315"/>
    <n v="2"/>
    <x v="2"/>
    <x v="0"/>
    <n v="40"/>
    <n v="2.6"/>
    <s v="Low"/>
  </r>
  <r>
    <x v="316"/>
    <s v="Gaurav Das"/>
    <x v="0"/>
    <s v="Content Specialist"/>
    <x v="0"/>
    <n v="29"/>
    <s v="Married"/>
    <s v="2024-12-14"/>
    <s v="2026-08-03"/>
    <x v="0"/>
    <x v="316"/>
    <n v="1"/>
    <x v="3"/>
    <x v="0"/>
    <n v="17"/>
    <n v="1.6"/>
    <s v="N/A"/>
  </r>
  <r>
    <x v="317"/>
    <s v="Anil Pillai"/>
    <x v="0"/>
    <s v="Content Specialist"/>
    <x v="0"/>
    <n v="55"/>
    <s v="Single"/>
    <s v="2022-09-20"/>
    <m/>
    <x v="1"/>
    <x v="317"/>
    <n v="4"/>
    <x v="3"/>
    <x v="0"/>
    <n v="43"/>
    <n v="3.9"/>
    <s v="Medium"/>
  </r>
  <r>
    <x v="318"/>
    <s v="Sneha Bose"/>
    <x v="0"/>
    <s v="Content Specialist"/>
    <x v="1"/>
    <n v="25"/>
    <s v="Married"/>
    <s v="2015-02-17"/>
    <m/>
    <x v="1"/>
    <x v="318"/>
    <n v="5"/>
    <x v="4"/>
    <x v="0"/>
    <n v="31"/>
    <n v="11.5"/>
    <s v="Medium"/>
  </r>
  <r>
    <x v="319"/>
    <s v="Divya Reddy"/>
    <x v="5"/>
    <s v="Sales Manager"/>
    <x v="1"/>
    <n v="39"/>
    <s v="Single"/>
    <s v="2015-07-26"/>
    <s v="2020-09-16"/>
    <x v="0"/>
    <x v="319"/>
    <n v="4"/>
    <x v="0"/>
    <x v="0"/>
    <n v="26"/>
    <n v="5.0999999999999996"/>
    <s v="N/A"/>
  </r>
  <r>
    <x v="320"/>
    <s v="Gaurav Kapoor"/>
    <x v="3"/>
    <s v="Operations Manager"/>
    <x v="0"/>
    <n v="42"/>
    <s v="Single"/>
    <s v="2016-05-01"/>
    <m/>
    <x v="1"/>
    <x v="320"/>
    <n v="1"/>
    <x v="3"/>
    <x v="0"/>
    <n v="26"/>
    <n v="10.3"/>
    <s v="Medium"/>
  </r>
  <r>
    <x v="321"/>
    <s v="Payal Bose"/>
    <x v="5"/>
    <s v="Sales Executive"/>
    <x v="1"/>
    <n v="35"/>
    <s v="Single"/>
    <s v="2022-05-05"/>
    <m/>
    <x v="1"/>
    <x v="30"/>
    <n v="3"/>
    <x v="1"/>
    <x v="0"/>
    <n v="4"/>
    <n v="4.3"/>
    <s v="Low"/>
  </r>
  <r>
    <x v="322"/>
    <s v="Sunita Kapoor"/>
    <x v="2"/>
    <s v="Recruiter"/>
    <x v="1"/>
    <n v="29"/>
    <s v="Divorced"/>
    <s v="2016-02-04"/>
    <m/>
    <x v="1"/>
    <x v="321"/>
    <n v="1"/>
    <x v="4"/>
    <x v="0"/>
    <n v="22"/>
    <n v="10.5"/>
    <s v="Medium"/>
  </r>
  <r>
    <x v="323"/>
    <s v="Pooja Verma"/>
    <x v="2"/>
    <s v="Recruiter"/>
    <x v="1"/>
    <n v="32"/>
    <s v="Single"/>
    <s v="2020-07-09"/>
    <s v="2025-02-02"/>
    <x v="0"/>
    <x v="322"/>
    <n v="1"/>
    <x v="2"/>
    <x v="1"/>
    <n v="17"/>
    <n v="4.5999999999999996"/>
    <s v="N/A"/>
  </r>
  <r>
    <x v="324"/>
    <s v="Anil Kumar"/>
    <x v="1"/>
    <s v="System Analyst"/>
    <x v="0"/>
    <n v="48"/>
    <s v="Divorced"/>
    <s v="2015-07-10"/>
    <m/>
    <x v="1"/>
    <x v="323"/>
    <n v="1"/>
    <x v="0"/>
    <x v="0"/>
    <n v="29"/>
    <n v="11.1"/>
    <s v="Low"/>
  </r>
  <r>
    <x v="325"/>
    <s v="Priya Pillai"/>
    <x v="3"/>
    <s v="Operations Executive"/>
    <x v="1"/>
    <n v="25"/>
    <s v="Single"/>
    <s v="2021-03-16"/>
    <m/>
    <x v="1"/>
    <x v="324"/>
    <n v="4"/>
    <x v="0"/>
    <x v="0"/>
    <n v="33"/>
    <n v="5.4"/>
    <s v="Low"/>
  </r>
  <r>
    <x v="326"/>
    <s v="Suresh Chopra"/>
    <x v="1"/>
    <s v="IT Support"/>
    <x v="0"/>
    <n v="42"/>
    <s v="Single"/>
    <s v="2020-08-26"/>
    <m/>
    <x v="1"/>
    <x v="325"/>
    <n v="5"/>
    <x v="2"/>
    <x v="0"/>
    <n v="45"/>
    <n v="6"/>
    <s v="Low"/>
  </r>
  <r>
    <x v="327"/>
    <s v="Sneha Singh"/>
    <x v="2"/>
    <s v="HR Manager"/>
    <x v="1"/>
    <n v="48"/>
    <s v="Married"/>
    <s v="2021-10-03"/>
    <m/>
    <x v="1"/>
    <x v="326"/>
    <n v="3"/>
    <x v="0"/>
    <x v="0"/>
    <n v="45"/>
    <n v="4.8"/>
    <s v="Low"/>
  </r>
  <r>
    <x v="328"/>
    <s v="Karan Gupta"/>
    <x v="3"/>
    <s v="Logistics Coordinator"/>
    <x v="0"/>
    <n v="40"/>
    <s v="Divorced"/>
    <s v="2022-09-13"/>
    <m/>
    <x v="1"/>
    <x v="327"/>
    <n v="2"/>
    <x v="4"/>
    <x v="1"/>
    <n v="33"/>
    <n v="3.9"/>
    <s v="High"/>
  </r>
  <r>
    <x v="329"/>
    <s v="Ritu Das"/>
    <x v="0"/>
    <s v="Marketing Executive"/>
    <x v="1"/>
    <n v="58"/>
    <s v="Single"/>
    <s v="2022-06-25"/>
    <m/>
    <x v="1"/>
    <x v="328"/>
    <n v="3"/>
    <x v="0"/>
    <x v="0"/>
    <n v="28"/>
    <n v="4.0999999999999996"/>
    <s v="Low"/>
  </r>
  <r>
    <x v="330"/>
    <s v="Amit Verma"/>
    <x v="5"/>
    <s v="Sales Manager"/>
    <x v="0"/>
    <n v="34"/>
    <s v="Single"/>
    <s v="2017-12-29"/>
    <m/>
    <x v="1"/>
    <x v="329"/>
    <n v="3"/>
    <x v="4"/>
    <x v="0"/>
    <n v="44"/>
    <n v="8.6"/>
    <s v="Medium"/>
  </r>
  <r>
    <x v="331"/>
    <s v="Sunil Verma"/>
    <x v="0"/>
    <s v="Marketing Manager"/>
    <x v="0"/>
    <n v="44"/>
    <s v="Divorced"/>
    <s v="2024-02-17"/>
    <m/>
    <x v="1"/>
    <x v="330"/>
    <n v="5"/>
    <x v="0"/>
    <x v="0"/>
    <n v="15"/>
    <n v="2.5"/>
    <s v="Low"/>
  </r>
  <r>
    <x v="332"/>
    <s v="Neha Chopra"/>
    <x v="1"/>
    <s v="IT Support"/>
    <x v="1"/>
    <n v="46"/>
    <s v="Divorced"/>
    <s v="2019-09-03"/>
    <m/>
    <x v="1"/>
    <x v="331"/>
    <n v="5"/>
    <x v="1"/>
    <x v="0"/>
    <n v="4"/>
    <n v="6.9"/>
    <s v="Low"/>
  </r>
  <r>
    <x v="333"/>
    <s v="Ajay Chauhan"/>
    <x v="3"/>
    <s v="Operations Manager"/>
    <x v="0"/>
    <n v="56"/>
    <s v="Divorced"/>
    <s v="2023-04-13"/>
    <s v="2024-06-01"/>
    <x v="0"/>
    <x v="332"/>
    <n v="3"/>
    <x v="4"/>
    <x v="0"/>
    <n v="29"/>
    <n v="1.1000000000000001"/>
    <s v="N/A"/>
  </r>
  <r>
    <x v="334"/>
    <s v="Nikhil Verma"/>
    <x v="0"/>
    <s v="Content Specialist"/>
    <x v="0"/>
    <n v="49"/>
    <s v="Married"/>
    <s v="2018-02-17"/>
    <s v="2023-07-11"/>
    <x v="0"/>
    <x v="333"/>
    <n v="2"/>
    <x v="4"/>
    <x v="0"/>
    <n v="38"/>
    <n v="5.4"/>
    <s v="N/A"/>
  </r>
  <r>
    <x v="335"/>
    <s v="Arjun Reddy"/>
    <x v="0"/>
    <s v="Marketing Executive"/>
    <x v="0"/>
    <n v="25"/>
    <s v="Divorced"/>
    <s v="2023-09-04"/>
    <m/>
    <x v="1"/>
    <x v="334"/>
    <n v="3"/>
    <x v="0"/>
    <x v="0"/>
    <n v="32"/>
    <n v="2.9"/>
    <s v="Low"/>
  </r>
  <r>
    <x v="336"/>
    <s v="Payal Mehta"/>
    <x v="5"/>
    <s v="Account Manager"/>
    <x v="1"/>
    <n v="33"/>
    <s v="Divorced"/>
    <s v="2020-11-02"/>
    <m/>
    <x v="1"/>
    <x v="335"/>
    <n v="2"/>
    <x v="0"/>
    <x v="1"/>
    <n v="27"/>
    <n v="5.8"/>
    <s v="Medium"/>
  </r>
  <r>
    <x v="337"/>
    <s v="Anil Reddy"/>
    <x v="2"/>
    <s v="HR Executive"/>
    <x v="0"/>
    <n v="45"/>
    <s v="Divorced"/>
    <s v="2018-04-17"/>
    <s v="2025-12-15"/>
    <x v="0"/>
    <x v="336"/>
    <n v="5"/>
    <x v="0"/>
    <x v="1"/>
    <n v="31"/>
    <n v="7.7"/>
    <s v="N/A"/>
  </r>
  <r>
    <x v="338"/>
    <s v="Ashok Bhatt"/>
    <x v="2"/>
    <s v="HR Manager"/>
    <x v="0"/>
    <n v="37"/>
    <s v="Married"/>
    <s v="2015-06-13"/>
    <m/>
    <x v="1"/>
    <x v="337"/>
    <n v="4"/>
    <x v="1"/>
    <x v="0"/>
    <n v="8"/>
    <n v="11.2"/>
    <s v="Low"/>
  </r>
  <r>
    <x v="339"/>
    <s v="Payal Pillai"/>
    <x v="2"/>
    <s v="HR Executive"/>
    <x v="1"/>
    <n v="50"/>
    <s v="Single"/>
    <s v="2020-06-16"/>
    <s v="2020-09-14"/>
    <x v="0"/>
    <x v="338"/>
    <n v="3"/>
    <x v="4"/>
    <x v="1"/>
    <n v="33"/>
    <n v="0.2"/>
    <s v="N/A"/>
  </r>
  <r>
    <x v="340"/>
    <s v="Karan Malhotra"/>
    <x v="0"/>
    <s v="Marketing Executive"/>
    <x v="0"/>
    <n v="28"/>
    <s v="Single"/>
    <s v="2017-04-22"/>
    <m/>
    <x v="1"/>
    <x v="339"/>
    <n v="1"/>
    <x v="2"/>
    <x v="0"/>
    <n v="44"/>
    <n v="9.3000000000000007"/>
    <s v="Low"/>
  </r>
  <r>
    <x v="341"/>
    <s v="Vikram Verma"/>
    <x v="2"/>
    <s v="HR Executive"/>
    <x v="0"/>
    <n v="33"/>
    <s v="Married"/>
    <s v="2023-11-28"/>
    <s v="2025-05-02"/>
    <x v="0"/>
    <x v="340"/>
    <n v="5"/>
    <x v="3"/>
    <x v="1"/>
    <n v="15"/>
    <n v="1.4"/>
    <s v="N/A"/>
  </r>
  <r>
    <x v="342"/>
    <s v="Rekha Sharma"/>
    <x v="0"/>
    <s v="Marketing Manager"/>
    <x v="1"/>
    <n v="46"/>
    <s v="Divorced"/>
    <s v="2022-07-20"/>
    <m/>
    <x v="1"/>
    <x v="341"/>
    <n v="5"/>
    <x v="3"/>
    <x v="1"/>
    <n v="5"/>
    <n v="4.0999999999999996"/>
    <s v="High"/>
  </r>
  <r>
    <x v="343"/>
    <s v="Payal Kumar"/>
    <x v="0"/>
    <s v="Marketing Executive"/>
    <x v="1"/>
    <n v="40"/>
    <s v="Married"/>
    <s v="2023-10-29"/>
    <m/>
    <x v="1"/>
    <x v="342"/>
    <n v="1"/>
    <x v="0"/>
    <x v="0"/>
    <n v="19"/>
    <n v="2.8"/>
    <s v="Low"/>
  </r>
  <r>
    <x v="344"/>
    <s v="Kavita Bose"/>
    <x v="0"/>
    <s v="Marketing Executive"/>
    <x v="1"/>
    <n v="36"/>
    <s v="Married"/>
    <s v="2016-07-12"/>
    <m/>
    <x v="1"/>
    <x v="343"/>
    <n v="3"/>
    <x v="0"/>
    <x v="0"/>
    <n v="41"/>
    <n v="10.1"/>
    <s v="Low"/>
  </r>
  <r>
    <x v="345"/>
    <s v="Priya Bose"/>
    <x v="0"/>
    <s v="Content Specialist"/>
    <x v="1"/>
    <n v="57"/>
    <s v="Divorced"/>
    <s v="2016-08-02"/>
    <m/>
    <x v="1"/>
    <x v="344"/>
    <n v="5"/>
    <x v="3"/>
    <x v="1"/>
    <n v="39"/>
    <n v="10"/>
    <s v="High"/>
  </r>
  <r>
    <x v="346"/>
    <s v="Ajay Gupta"/>
    <x v="5"/>
    <s v="Sales Manager"/>
    <x v="0"/>
    <n v="48"/>
    <s v="Single"/>
    <s v="2025-02-26"/>
    <m/>
    <x v="1"/>
    <x v="345"/>
    <n v="2"/>
    <x v="0"/>
    <x v="0"/>
    <n v="11"/>
    <n v="1.4"/>
    <s v="Low"/>
  </r>
  <r>
    <x v="347"/>
    <s v="Rohan Chauhan"/>
    <x v="2"/>
    <s v="HR Executive"/>
    <x v="0"/>
    <n v="25"/>
    <s v="Single"/>
    <s v="2024-07-19"/>
    <m/>
    <x v="1"/>
    <x v="346"/>
    <n v="4"/>
    <x v="0"/>
    <x v="0"/>
    <n v="42"/>
    <n v="2.1"/>
    <s v="Low"/>
  </r>
  <r>
    <x v="348"/>
    <s v="Karan Chauhan"/>
    <x v="5"/>
    <s v="Sales Manager"/>
    <x v="0"/>
    <n v="53"/>
    <s v="Single"/>
    <s v="2018-09-17"/>
    <m/>
    <x v="1"/>
    <x v="347"/>
    <n v="1"/>
    <x v="4"/>
    <x v="0"/>
    <n v="19"/>
    <n v="7.9"/>
    <s v="Medium"/>
  </r>
  <r>
    <x v="349"/>
    <s v="Rekha Bhatt"/>
    <x v="2"/>
    <s v="HR Manager"/>
    <x v="1"/>
    <n v="41"/>
    <s v="Married"/>
    <s v="2022-10-11"/>
    <m/>
    <x v="1"/>
    <x v="348"/>
    <n v="5"/>
    <x v="0"/>
    <x v="0"/>
    <n v="24"/>
    <n v="3.8"/>
    <s v="Low"/>
  </r>
  <r>
    <x v="350"/>
    <s v="Divya Mehta"/>
    <x v="1"/>
    <s v="Software Engineer"/>
    <x v="1"/>
    <n v="49"/>
    <s v="Married"/>
    <s v="2018-02-07"/>
    <m/>
    <x v="1"/>
    <x v="349"/>
    <n v="3"/>
    <x v="4"/>
    <x v="0"/>
    <n v="31"/>
    <n v="8.5"/>
    <s v="Medium"/>
  </r>
  <r>
    <x v="351"/>
    <s v="Rohan Bhatt"/>
    <x v="2"/>
    <s v="HR Manager"/>
    <x v="0"/>
    <n v="27"/>
    <s v="Divorced"/>
    <s v="2024-06-09"/>
    <m/>
    <x v="1"/>
    <x v="350"/>
    <n v="5"/>
    <x v="4"/>
    <x v="1"/>
    <n v="13"/>
    <n v="2.2000000000000002"/>
    <s v="High"/>
  </r>
  <r>
    <x v="352"/>
    <s v="Rahul Pillai"/>
    <x v="5"/>
    <s v="Account Manager"/>
    <x v="0"/>
    <n v="23"/>
    <s v="Single"/>
    <s v="2024-02-11"/>
    <m/>
    <x v="1"/>
    <x v="351"/>
    <n v="5"/>
    <x v="2"/>
    <x v="0"/>
    <n v="14"/>
    <n v="2.5"/>
    <s v="Low"/>
  </r>
  <r>
    <x v="353"/>
    <s v="Sneha Iyer"/>
    <x v="3"/>
    <s v="Logistics Coordinator"/>
    <x v="1"/>
    <n v="47"/>
    <s v="Divorced"/>
    <s v="2017-07-03"/>
    <m/>
    <x v="1"/>
    <x v="352"/>
    <n v="3"/>
    <x v="0"/>
    <x v="0"/>
    <n v="9"/>
    <n v="9.1"/>
    <s v="Low"/>
  </r>
  <r>
    <x v="354"/>
    <s v="Sanjay Bhatt"/>
    <x v="4"/>
    <s v="Accountant"/>
    <x v="0"/>
    <n v="32"/>
    <s v="Divorced"/>
    <s v="2023-06-29"/>
    <m/>
    <x v="1"/>
    <x v="353"/>
    <n v="2"/>
    <x v="2"/>
    <x v="0"/>
    <n v="12"/>
    <n v="3.1"/>
    <s v="Low"/>
  </r>
  <r>
    <x v="355"/>
    <s v="Sunita Verma"/>
    <x v="1"/>
    <s v="IT Support"/>
    <x v="1"/>
    <n v="36"/>
    <s v="Single"/>
    <s v="2023-07-16"/>
    <m/>
    <x v="1"/>
    <x v="354"/>
    <n v="3"/>
    <x v="3"/>
    <x v="0"/>
    <n v="24"/>
    <n v="3.1"/>
    <s v="Medium"/>
  </r>
  <r>
    <x v="356"/>
    <s v="Komal Kapoor"/>
    <x v="3"/>
    <s v="Operations Manager"/>
    <x v="1"/>
    <n v="24"/>
    <s v="Married"/>
    <s v="2015-06-13"/>
    <m/>
    <x v="1"/>
    <x v="355"/>
    <n v="1"/>
    <x v="1"/>
    <x v="0"/>
    <n v="34"/>
    <n v="11.2"/>
    <s v="Low"/>
  </r>
  <r>
    <x v="357"/>
    <s v="Nikhil Chopra"/>
    <x v="2"/>
    <s v="Recruiter"/>
    <x v="0"/>
    <n v="45"/>
    <s v="Single"/>
    <s v="2021-08-04"/>
    <m/>
    <x v="1"/>
    <x v="356"/>
    <n v="5"/>
    <x v="3"/>
    <x v="0"/>
    <n v="17"/>
    <n v="5"/>
    <s v="Medium"/>
  </r>
  <r>
    <x v="358"/>
    <s v="Komal Bhatt"/>
    <x v="2"/>
    <s v="HR Manager"/>
    <x v="1"/>
    <n v="22"/>
    <s v="Divorced"/>
    <s v="2020-08-17"/>
    <m/>
    <x v="1"/>
    <x v="357"/>
    <n v="2"/>
    <x v="2"/>
    <x v="0"/>
    <n v="15"/>
    <n v="6"/>
    <s v="Low"/>
  </r>
  <r>
    <x v="359"/>
    <s v="Rohan Iyer"/>
    <x v="1"/>
    <s v="Software Engineer"/>
    <x v="0"/>
    <n v="29"/>
    <s v="Married"/>
    <s v="2022-05-31"/>
    <m/>
    <x v="1"/>
    <x v="358"/>
    <n v="1"/>
    <x v="1"/>
    <x v="1"/>
    <n v="31"/>
    <n v="4.2"/>
    <s v="Medium"/>
  </r>
  <r>
    <x v="360"/>
    <s v="Priya Mehta"/>
    <x v="3"/>
    <s v="Operations Executive"/>
    <x v="1"/>
    <n v="24"/>
    <s v="Single"/>
    <s v="2016-06-07"/>
    <m/>
    <x v="1"/>
    <x v="359"/>
    <n v="2"/>
    <x v="4"/>
    <x v="0"/>
    <n v="41"/>
    <n v="10.199999999999999"/>
    <s v="Medium"/>
  </r>
  <r>
    <x v="361"/>
    <s v="Manoj Joshi"/>
    <x v="1"/>
    <s v="Software Engineer"/>
    <x v="0"/>
    <n v="55"/>
    <s v="Married"/>
    <s v="2019-07-19"/>
    <m/>
    <x v="1"/>
    <x v="360"/>
    <n v="1"/>
    <x v="0"/>
    <x v="0"/>
    <n v="43"/>
    <n v="7.1"/>
    <s v="Low"/>
  </r>
  <r>
    <x v="362"/>
    <s v="Komal Joshi"/>
    <x v="1"/>
    <s v="System Analyst"/>
    <x v="1"/>
    <n v="36"/>
    <s v="Divorced"/>
    <s v="2024-04-24"/>
    <m/>
    <x v="1"/>
    <x v="361"/>
    <n v="5"/>
    <x v="4"/>
    <x v="0"/>
    <n v="12"/>
    <n v="2.2999999999999998"/>
    <s v="Medium"/>
  </r>
  <r>
    <x v="363"/>
    <s v="Rita Bhatt"/>
    <x v="1"/>
    <s v="IT Support"/>
    <x v="1"/>
    <n v="26"/>
    <s v="Divorced"/>
    <s v="2017-07-30"/>
    <m/>
    <x v="1"/>
    <x v="362"/>
    <n v="1"/>
    <x v="4"/>
    <x v="0"/>
    <n v="2"/>
    <n v="9"/>
    <s v="Medium"/>
  </r>
  <r>
    <x v="364"/>
    <s v="Sneha Bhatt"/>
    <x v="3"/>
    <s v="Logistics Coordinator"/>
    <x v="1"/>
    <n v="28"/>
    <s v="Divorced"/>
    <s v="2016-12-27"/>
    <m/>
    <x v="1"/>
    <x v="363"/>
    <n v="5"/>
    <x v="0"/>
    <x v="0"/>
    <n v="3"/>
    <n v="9.6"/>
    <s v="Low"/>
  </r>
  <r>
    <x v="365"/>
    <s v="Sneha Bhatt"/>
    <x v="5"/>
    <s v="Sales Executive"/>
    <x v="1"/>
    <n v="56"/>
    <s v="Single"/>
    <s v="2024-04-12"/>
    <m/>
    <x v="1"/>
    <x v="364"/>
    <n v="5"/>
    <x v="2"/>
    <x v="1"/>
    <n v="27"/>
    <n v="2.2999999999999998"/>
    <s v="Medium"/>
  </r>
  <r>
    <x v="366"/>
    <s v="Swati Iyer"/>
    <x v="4"/>
    <s v="Financial Analyst"/>
    <x v="1"/>
    <n v="58"/>
    <s v="Single"/>
    <s v="2016-02-05"/>
    <m/>
    <x v="1"/>
    <x v="365"/>
    <n v="4"/>
    <x v="1"/>
    <x v="0"/>
    <n v="15"/>
    <n v="10.5"/>
    <s v="Low"/>
  </r>
  <r>
    <x v="367"/>
    <s v="Meena Sharma"/>
    <x v="3"/>
    <s v="Operations Manager"/>
    <x v="1"/>
    <n v="22"/>
    <s v="Single"/>
    <s v="2021-06-25"/>
    <m/>
    <x v="1"/>
    <x v="366"/>
    <n v="1"/>
    <x v="0"/>
    <x v="0"/>
    <n v="25"/>
    <n v="5.0999999999999996"/>
    <s v="Low"/>
  </r>
  <r>
    <x v="368"/>
    <s v="Pooja Singh"/>
    <x v="2"/>
    <s v="HR Manager"/>
    <x v="1"/>
    <n v="49"/>
    <s v="Married"/>
    <s v="2022-04-22"/>
    <m/>
    <x v="1"/>
    <x v="367"/>
    <n v="5"/>
    <x v="1"/>
    <x v="0"/>
    <n v="28"/>
    <n v="4.3"/>
    <s v="Low"/>
  </r>
  <r>
    <x v="369"/>
    <s v="Ravi Bose"/>
    <x v="0"/>
    <s v="Marketing Manager"/>
    <x v="0"/>
    <n v="57"/>
    <s v="Married"/>
    <s v="2020-05-30"/>
    <m/>
    <x v="1"/>
    <x v="368"/>
    <n v="5"/>
    <x v="0"/>
    <x v="1"/>
    <n v="31"/>
    <n v="6.2"/>
    <s v="Medium"/>
  </r>
  <r>
    <x v="370"/>
    <s v="Suresh Mehta"/>
    <x v="0"/>
    <s v="Marketing Manager"/>
    <x v="0"/>
    <n v="50"/>
    <s v="Married"/>
    <s v="2023-10-13"/>
    <m/>
    <x v="1"/>
    <x v="369"/>
    <n v="1"/>
    <x v="4"/>
    <x v="0"/>
    <n v="14"/>
    <n v="2.8"/>
    <s v="Medium"/>
  </r>
  <r>
    <x v="371"/>
    <s v="Rohan Chopra"/>
    <x v="3"/>
    <s v="Logistics Coordinator"/>
    <x v="0"/>
    <n v="22"/>
    <s v="Single"/>
    <s v="2024-01-08"/>
    <s v="2024-10-21"/>
    <x v="0"/>
    <x v="370"/>
    <n v="4"/>
    <x v="4"/>
    <x v="1"/>
    <n v="39"/>
    <n v="0.8"/>
    <s v="N/A"/>
  </r>
  <r>
    <x v="372"/>
    <s v="Nikhil Chopra"/>
    <x v="2"/>
    <s v="HR Executive"/>
    <x v="0"/>
    <n v="55"/>
    <s v="Married"/>
    <s v="2018-03-19"/>
    <m/>
    <x v="1"/>
    <x v="371"/>
    <n v="1"/>
    <x v="0"/>
    <x v="0"/>
    <n v="12"/>
    <n v="8.4"/>
    <s v="Low"/>
  </r>
  <r>
    <x v="373"/>
    <s v="Meena Verma"/>
    <x v="1"/>
    <s v="IT Support"/>
    <x v="1"/>
    <n v="54"/>
    <s v="Married"/>
    <s v="2020-10-13"/>
    <m/>
    <x v="1"/>
    <x v="372"/>
    <n v="2"/>
    <x v="0"/>
    <x v="0"/>
    <n v="44"/>
    <n v="5.8"/>
    <s v="Low"/>
  </r>
  <r>
    <x v="374"/>
    <s v="Manoj Chopra"/>
    <x v="5"/>
    <s v="Sales Executive"/>
    <x v="0"/>
    <n v="44"/>
    <s v="Divorced"/>
    <s v="2022-07-05"/>
    <m/>
    <x v="1"/>
    <x v="373"/>
    <n v="2"/>
    <x v="0"/>
    <x v="0"/>
    <n v="34"/>
    <n v="4.0999999999999996"/>
    <s v="Low"/>
  </r>
  <r>
    <x v="375"/>
    <s v="Ritu Chauhan"/>
    <x v="5"/>
    <s v="Account Manager"/>
    <x v="1"/>
    <n v="44"/>
    <s v="Married"/>
    <s v="2018-11-24"/>
    <m/>
    <x v="1"/>
    <x v="374"/>
    <n v="2"/>
    <x v="1"/>
    <x v="0"/>
    <n v="39"/>
    <n v="7.7"/>
    <s v="Low"/>
  </r>
  <r>
    <x v="376"/>
    <s v="Kavita Malhotra"/>
    <x v="3"/>
    <s v="Operations Executive"/>
    <x v="1"/>
    <n v="54"/>
    <s v="Single"/>
    <s v="2016-03-12"/>
    <m/>
    <x v="1"/>
    <x v="375"/>
    <n v="3"/>
    <x v="0"/>
    <x v="0"/>
    <n v="22"/>
    <n v="10.4"/>
    <s v="Low"/>
  </r>
  <r>
    <x v="377"/>
    <s v="Rita Chopra"/>
    <x v="2"/>
    <s v="Recruiter"/>
    <x v="1"/>
    <n v="58"/>
    <s v="Divorced"/>
    <s v="2020-06-03"/>
    <m/>
    <x v="1"/>
    <x v="376"/>
    <n v="4"/>
    <x v="1"/>
    <x v="0"/>
    <n v="44"/>
    <n v="6.2"/>
    <s v="Low"/>
  </r>
  <r>
    <x v="378"/>
    <s v="Anjali Chopra"/>
    <x v="4"/>
    <s v="Financial Analyst"/>
    <x v="1"/>
    <n v="36"/>
    <s v="Divorced"/>
    <s v="2022-08-04"/>
    <s v="2024-03-25"/>
    <x v="0"/>
    <x v="377"/>
    <n v="4"/>
    <x v="1"/>
    <x v="0"/>
    <n v="23"/>
    <n v="1.6"/>
    <s v="N/A"/>
  </r>
  <r>
    <x v="379"/>
    <s v="Nikhil Reddy"/>
    <x v="1"/>
    <s v="System Analyst"/>
    <x v="0"/>
    <n v="26"/>
    <s v="Divorced"/>
    <s v="2021-03-21"/>
    <m/>
    <x v="1"/>
    <x v="378"/>
    <n v="3"/>
    <x v="2"/>
    <x v="0"/>
    <n v="23"/>
    <n v="5.4"/>
    <s v="Low"/>
  </r>
  <r>
    <x v="380"/>
    <s v="Gaurav Gupta"/>
    <x v="0"/>
    <s v="Content Specialist"/>
    <x v="0"/>
    <n v="37"/>
    <s v="Single"/>
    <s v="2023-04-01"/>
    <m/>
    <x v="1"/>
    <x v="379"/>
    <n v="2"/>
    <x v="1"/>
    <x v="1"/>
    <n v="15"/>
    <n v="3.4"/>
    <s v="Medium"/>
  </r>
  <r>
    <x v="381"/>
    <s v="Suresh Patel"/>
    <x v="2"/>
    <s v="HR Executive"/>
    <x v="0"/>
    <n v="53"/>
    <s v="Divorced"/>
    <s v="2021-11-19"/>
    <m/>
    <x v="1"/>
    <x v="380"/>
    <n v="1"/>
    <x v="0"/>
    <x v="1"/>
    <n v="31"/>
    <n v="4.7"/>
    <s v="Medium"/>
  </r>
  <r>
    <x v="382"/>
    <s v="Kavita Pillai"/>
    <x v="3"/>
    <s v="Operations Manager"/>
    <x v="1"/>
    <n v="39"/>
    <s v="Married"/>
    <s v="2019-06-18"/>
    <m/>
    <x v="1"/>
    <x v="381"/>
    <n v="2"/>
    <x v="0"/>
    <x v="1"/>
    <n v="4"/>
    <n v="7.1"/>
    <s v="Medium"/>
  </r>
  <r>
    <x v="383"/>
    <s v="Swati Joshi"/>
    <x v="3"/>
    <s v="Operations Executive"/>
    <x v="1"/>
    <n v="51"/>
    <s v="Single"/>
    <s v="2016-05-08"/>
    <m/>
    <x v="1"/>
    <x v="382"/>
    <n v="3"/>
    <x v="2"/>
    <x v="0"/>
    <n v="45"/>
    <n v="10.3"/>
    <s v="Low"/>
  </r>
  <r>
    <x v="384"/>
    <s v="Anil Iyer"/>
    <x v="4"/>
    <s v="Finance Manager"/>
    <x v="0"/>
    <n v="38"/>
    <s v="Married"/>
    <s v="2017-02-05"/>
    <m/>
    <x v="1"/>
    <x v="383"/>
    <n v="3"/>
    <x v="4"/>
    <x v="0"/>
    <n v="31"/>
    <n v="9.5"/>
    <s v="Medium"/>
  </r>
  <r>
    <x v="385"/>
    <s v="Ravi Iyer"/>
    <x v="4"/>
    <s v="Accountant"/>
    <x v="0"/>
    <n v="45"/>
    <s v="Divorced"/>
    <s v="2024-07-31"/>
    <m/>
    <x v="1"/>
    <x v="384"/>
    <n v="2"/>
    <x v="2"/>
    <x v="0"/>
    <n v="37"/>
    <n v="2"/>
    <s v="Low"/>
  </r>
  <r>
    <x v="386"/>
    <s v="Divya Bose"/>
    <x v="5"/>
    <s v="Account Manager"/>
    <x v="1"/>
    <n v="49"/>
    <s v="Single"/>
    <s v="2024-08-08"/>
    <s v="2026-03-02"/>
    <x v="0"/>
    <x v="385"/>
    <n v="2"/>
    <x v="4"/>
    <x v="0"/>
    <n v="31"/>
    <n v="1.6"/>
    <s v="N/A"/>
  </r>
  <r>
    <x v="387"/>
    <s v="Komal Nair"/>
    <x v="1"/>
    <s v="IT Support"/>
    <x v="1"/>
    <n v="38"/>
    <s v="Single"/>
    <s v="2021-04-21"/>
    <s v="2026-01-11"/>
    <x v="0"/>
    <x v="386"/>
    <n v="4"/>
    <x v="3"/>
    <x v="0"/>
    <n v="7"/>
    <n v="4.7"/>
    <s v="N/A"/>
  </r>
  <r>
    <x v="388"/>
    <s v="Vivek Reddy"/>
    <x v="2"/>
    <s v="HR Manager"/>
    <x v="0"/>
    <n v="38"/>
    <s v="Married"/>
    <s v="2019-01-18"/>
    <s v="2026-01-01"/>
    <x v="0"/>
    <x v="387"/>
    <n v="3"/>
    <x v="0"/>
    <x v="0"/>
    <n v="23"/>
    <n v="7"/>
    <s v="N/A"/>
  </r>
  <r>
    <x v="389"/>
    <s v="Deepak Iyer"/>
    <x v="1"/>
    <s v="IT Support"/>
    <x v="0"/>
    <n v="42"/>
    <s v="Married"/>
    <s v="2022-07-20"/>
    <m/>
    <x v="1"/>
    <x v="388"/>
    <n v="1"/>
    <x v="2"/>
    <x v="0"/>
    <n v="25"/>
    <n v="4.0999999999999996"/>
    <s v="Low"/>
  </r>
  <r>
    <x v="390"/>
    <s v="Nisha Bhatt"/>
    <x v="1"/>
    <s v="Software Engineer"/>
    <x v="1"/>
    <n v="58"/>
    <s v="Single"/>
    <s v="2019-07-16"/>
    <s v="2022-12-20"/>
    <x v="0"/>
    <x v="389"/>
    <n v="1"/>
    <x v="3"/>
    <x v="0"/>
    <n v="11"/>
    <n v="3.4"/>
    <s v="N/A"/>
  </r>
  <r>
    <x v="391"/>
    <s v="Shweta Kapoor"/>
    <x v="0"/>
    <s v="Marketing Manager"/>
    <x v="1"/>
    <n v="45"/>
    <s v="Single"/>
    <s v="2023-05-22"/>
    <s v="2024-11-12"/>
    <x v="0"/>
    <x v="390"/>
    <n v="4"/>
    <x v="2"/>
    <x v="0"/>
    <n v="11"/>
    <n v="1.5"/>
    <s v="N/A"/>
  </r>
  <r>
    <x v="392"/>
    <s v="Karan Joshi"/>
    <x v="0"/>
    <s v="Marketing Manager"/>
    <x v="0"/>
    <n v="47"/>
    <s v="Married"/>
    <s v="2016-02-26"/>
    <m/>
    <x v="1"/>
    <x v="391"/>
    <n v="5"/>
    <x v="2"/>
    <x v="1"/>
    <n v="4"/>
    <n v="10.5"/>
    <s v="Medium"/>
  </r>
  <r>
    <x v="393"/>
    <s v="Nidhi Singh"/>
    <x v="5"/>
    <s v="Sales Executive"/>
    <x v="1"/>
    <n v="27"/>
    <s v="Divorced"/>
    <s v="2022-05-06"/>
    <m/>
    <x v="1"/>
    <x v="392"/>
    <n v="3"/>
    <x v="2"/>
    <x v="0"/>
    <n v="15"/>
    <n v="4.3"/>
    <s v="Low"/>
  </r>
  <r>
    <x v="394"/>
    <s v="Rajesh Joshi"/>
    <x v="0"/>
    <s v="Marketing Executive"/>
    <x v="0"/>
    <n v="23"/>
    <s v="Divorced"/>
    <s v="2015-05-24"/>
    <m/>
    <x v="1"/>
    <x v="393"/>
    <n v="4"/>
    <x v="1"/>
    <x v="0"/>
    <n v="30"/>
    <n v="11.2"/>
    <s v="Low"/>
  </r>
  <r>
    <x v="395"/>
    <s v="Sunil Joshi"/>
    <x v="3"/>
    <s v="Operations Manager"/>
    <x v="0"/>
    <n v="51"/>
    <s v="Divorced"/>
    <s v="2022-01-28"/>
    <m/>
    <x v="1"/>
    <x v="394"/>
    <n v="4"/>
    <x v="0"/>
    <x v="0"/>
    <n v="34"/>
    <n v="4.5"/>
    <s v="Low"/>
  </r>
  <r>
    <x v="396"/>
    <s v="Vikram Kapoor"/>
    <x v="2"/>
    <s v="HR Manager"/>
    <x v="0"/>
    <n v="41"/>
    <s v="Divorced"/>
    <s v="2019-02-07"/>
    <m/>
    <x v="1"/>
    <x v="395"/>
    <n v="3"/>
    <x v="4"/>
    <x v="0"/>
    <n v="1"/>
    <n v="7.5"/>
    <s v="Medium"/>
  </r>
  <r>
    <x v="397"/>
    <s v="Komal Bose"/>
    <x v="1"/>
    <s v="System Analyst"/>
    <x v="1"/>
    <n v="22"/>
    <s v="Married"/>
    <s v="2022-09-18"/>
    <m/>
    <x v="1"/>
    <x v="396"/>
    <n v="3"/>
    <x v="2"/>
    <x v="0"/>
    <n v="1"/>
    <n v="3.9"/>
    <s v="Low"/>
  </r>
  <r>
    <x v="398"/>
    <s v="Sunil Iyer"/>
    <x v="3"/>
    <s v="Operations Executive"/>
    <x v="0"/>
    <n v="34"/>
    <s v="Divorced"/>
    <s v="2019-08-14"/>
    <m/>
    <x v="1"/>
    <x v="397"/>
    <n v="4"/>
    <x v="2"/>
    <x v="0"/>
    <n v="16"/>
    <n v="7"/>
    <s v="Low"/>
  </r>
  <r>
    <x v="399"/>
    <s v="Manoj Patel"/>
    <x v="4"/>
    <s v="Accountant"/>
    <x v="0"/>
    <n v="49"/>
    <s v="Divorced"/>
    <s v="2022-01-05"/>
    <m/>
    <x v="1"/>
    <x v="398"/>
    <n v="3"/>
    <x v="0"/>
    <x v="1"/>
    <n v="19"/>
    <n v="4.5999999999999996"/>
    <s v="Medium"/>
  </r>
  <r>
    <x v="400"/>
    <s v="Vikram Joshi"/>
    <x v="2"/>
    <s v="HR Manager"/>
    <x v="0"/>
    <n v="30"/>
    <s v="Divorced"/>
    <s v="2018-04-01"/>
    <m/>
    <x v="1"/>
    <x v="399"/>
    <n v="5"/>
    <x v="2"/>
    <x v="1"/>
    <n v="29"/>
    <n v="8.4"/>
    <s v="Medium"/>
  </r>
  <r>
    <x v="401"/>
    <s v="Arjun Verma"/>
    <x v="1"/>
    <s v="System Analyst"/>
    <x v="0"/>
    <n v="56"/>
    <s v="Divorced"/>
    <s v="2015-04-01"/>
    <s v="2015-07-03"/>
    <x v="0"/>
    <x v="400"/>
    <n v="3"/>
    <x v="3"/>
    <x v="1"/>
    <n v="18"/>
    <n v="0.3"/>
    <s v="N/A"/>
  </r>
  <r>
    <x v="402"/>
    <s v="Rahul Das"/>
    <x v="1"/>
    <s v="Software Engineer"/>
    <x v="0"/>
    <n v="35"/>
    <s v="Single"/>
    <s v="2018-11-01"/>
    <m/>
    <x v="1"/>
    <x v="401"/>
    <n v="3"/>
    <x v="2"/>
    <x v="0"/>
    <n v="30"/>
    <n v="7.8"/>
    <s v="Low"/>
  </r>
  <r>
    <x v="403"/>
    <s v="Swati Patel"/>
    <x v="1"/>
    <s v="Software Engineer"/>
    <x v="1"/>
    <n v="56"/>
    <s v="Divorced"/>
    <s v="2020-04-09"/>
    <s v="2025-05-27"/>
    <x v="0"/>
    <x v="402"/>
    <n v="4"/>
    <x v="1"/>
    <x v="1"/>
    <n v="1"/>
    <n v="5.0999999999999996"/>
    <s v="N/A"/>
  </r>
  <r>
    <x v="404"/>
    <s v="Karan Kapoor"/>
    <x v="1"/>
    <s v="IT Support"/>
    <x v="0"/>
    <n v="28"/>
    <s v="Married"/>
    <s v="2020-11-04"/>
    <m/>
    <x v="1"/>
    <x v="403"/>
    <n v="4"/>
    <x v="4"/>
    <x v="0"/>
    <n v="25"/>
    <n v="5.8"/>
    <s v="Medium"/>
  </r>
  <r>
    <x v="405"/>
    <s v="Sunil Pillai"/>
    <x v="1"/>
    <s v="IT Support"/>
    <x v="0"/>
    <n v="29"/>
    <s v="Single"/>
    <s v="2017-11-03"/>
    <m/>
    <x v="1"/>
    <x v="404"/>
    <n v="2"/>
    <x v="1"/>
    <x v="0"/>
    <n v="24"/>
    <n v="8.8000000000000007"/>
    <s v="Low"/>
  </r>
  <r>
    <x v="406"/>
    <s v="Ravi Reddy"/>
    <x v="1"/>
    <s v="Software Engineer"/>
    <x v="0"/>
    <n v="22"/>
    <s v="Single"/>
    <s v="2016-11-16"/>
    <s v="2017-07-06"/>
    <x v="0"/>
    <x v="405"/>
    <n v="1"/>
    <x v="0"/>
    <x v="0"/>
    <n v="26"/>
    <n v="0.6"/>
    <s v="N/A"/>
  </r>
  <r>
    <x v="407"/>
    <s v="Nidhi Singh"/>
    <x v="3"/>
    <s v="Logistics Coordinator"/>
    <x v="1"/>
    <n v="45"/>
    <s v="Divorced"/>
    <s v="2023-08-24"/>
    <s v="2026-07-11"/>
    <x v="0"/>
    <x v="406"/>
    <n v="4"/>
    <x v="4"/>
    <x v="1"/>
    <n v="6"/>
    <n v="2.9"/>
    <s v="N/A"/>
  </r>
  <r>
    <x v="408"/>
    <s v="Ajay Singh"/>
    <x v="0"/>
    <s v="Marketing Executive"/>
    <x v="0"/>
    <n v="56"/>
    <s v="Divorced"/>
    <s v="2023-11-16"/>
    <m/>
    <x v="1"/>
    <x v="407"/>
    <n v="2"/>
    <x v="2"/>
    <x v="1"/>
    <n v="21"/>
    <n v="2.7"/>
    <s v="Medium"/>
  </r>
  <r>
    <x v="409"/>
    <s v="Rahul Chopra"/>
    <x v="4"/>
    <s v="Finance Manager"/>
    <x v="0"/>
    <n v="44"/>
    <s v="Married"/>
    <s v="2023-02-15"/>
    <m/>
    <x v="1"/>
    <x v="408"/>
    <n v="4"/>
    <x v="3"/>
    <x v="1"/>
    <n v="29"/>
    <n v="3.5"/>
    <s v="High"/>
  </r>
  <r>
    <x v="410"/>
    <s v="Sunil Iyer"/>
    <x v="4"/>
    <s v="Financial Analyst"/>
    <x v="0"/>
    <n v="42"/>
    <s v="Divorced"/>
    <s v="2023-03-19"/>
    <s v="2025-01-12"/>
    <x v="0"/>
    <x v="409"/>
    <n v="5"/>
    <x v="0"/>
    <x v="0"/>
    <n v="11"/>
    <n v="1.8"/>
    <s v="N/A"/>
  </r>
  <r>
    <x v="411"/>
    <s v="Rita Sharma"/>
    <x v="2"/>
    <s v="Recruiter"/>
    <x v="1"/>
    <n v="54"/>
    <s v="Divorced"/>
    <s v="2019-04-02"/>
    <s v="2020-02-15"/>
    <x v="0"/>
    <x v="410"/>
    <n v="5"/>
    <x v="3"/>
    <x v="0"/>
    <n v="24"/>
    <n v="0.9"/>
    <s v="N/A"/>
  </r>
  <r>
    <x v="412"/>
    <s v="Meena Pillai"/>
    <x v="0"/>
    <s v="Content Specialist"/>
    <x v="1"/>
    <n v="53"/>
    <s v="Divorced"/>
    <s v="2023-08-03"/>
    <m/>
    <x v="1"/>
    <x v="411"/>
    <n v="3"/>
    <x v="0"/>
    <x v="0"/>
    <n v="21"/>
    <n v="3"/>
    <s v="Low"/>
  </r>
  <r>
    <x v="413"/>
    <s v="Amit Singh"/>
    <x v="5"/>
    <s v="Account Manager"/>
    <x v="0"/>
    <n v="33"/>
    <s v="Single"/>
    <s v="2024-10-17"/>
    <m/>
    <x v="1"/>
    <x v="412"/>
    <n v="4"/>
    <x v="3"/>
    <x v="1"/>
    <n v="13"/>
    <n v="1.8"/>
    <s v="High"/>
  </r>
  <r>
    <x v="414"/>
    <s v="Payal Bhatt"/>
    <x v="4"/>
    <s v="Finance Manager"/>
    <x v="1"/>
    <n v="38"/>
    <s v="Single"/>
    <s v="2015-07-21"/>
    <m/>
    <x v="1"/>
    <x v="413"/>
    <n v="1"/>
    <x v="0"/>
    <x v="0"/>
    <n v="1"/>
    <n v="11.1"/>
    <s v="Low"/>
  </r>
  <r>
    <x v="415"/>
    <s v="Ajay Bose"/>
    <x v="5"/>
    <s v="Sales Manager"/>
    <x v="0"/>
    <n v="48"/>
    <s v="Single"/>
    <s v="2024-03-21"/>
    <m/>
    <x v="1"/>
    <x v="414"/>
    <n v="5"/>
    <x v="3"/>
    <x v="0"/>
    <n v="18"/>
    <n v="2.4"/>
    <s v="Medium"/>
  </r>
  <r>
    <x v="416"/>
    <s v="Rajesh Kumar"/>
    <x v="2"/>
    <s v="HR Executive"/>
    <x v="0"/>
    <n v="28"/>
    <s v="Divorced"/>
    <s v="2023-02-18"/>
    <s v="2024-04-19"/>
    <x v="0"/>
    <x v="415"/>
    <n v="2"/>
    <x v="2"/>
    <x v="1"/>
    <n v="13"/>
    <n v="1.2"/>
    <s v="N/A"/>
  </r>
  <r>
    <x v="417"/>
    <s v="Pooja Chauhan"/>
    <x v="3"/>
    <s v="Logistics Coordinator"/>
    <x v="1"/>
    <n v="44"/>
    <s v="Single"/>
    <s v="2022-07-25"/>
    <m/>
    <x v="1"/>
    <x v="416"/>
    <n v="1"/>
    <x v="2"/>
    <x v="0"/>
    <n v="11"/>
    <n v="4"/>
    <s v="Low"/>
  </r>
  <r>
    <x v="418"/>
    <s v="Sunil Bhatt"/>
    <x v="3"/>
    <s v="Operations Manager"/>
    <x v="0"/>
    <n v="50"/>
    <s v="Married"/>
    <s v="2025-06-20"/>
    <m/>
    <x v="1"/>
    <x v="417"/>
    <n v="5"/>
    <x v="1"/>
    <x v="0"/>
    <n v="21"/>
    <n v="1.1000000000000001"/>
    <s v="Low"/>
  </r>
  <r>
    <x v="419"/>
    <s v="Nidhi Mehta"/>
    <x v="0"/>
    <s v="Marketing Manager"/>
    <x v="1"/>
    <n v="58"/>
    <s v="Married"/>
    <s v="2021-02-12"/>
    <m/>
    <x v="1"/>
    <x v="418"/>
    <n v="3"/>
    <x v="0"/>
    <x v="1"/>
    <n v="24"/>
    <n v="5.5"/>
    <s v="Medium"/>
  </r>
  <r>
    <x v="420"/>
    <s v="Deepak Bhatt"/>
    <x v="5"/>
    <s v="Account Manager"/>
    <x v="0"/>
    <n v="23"/>
    <s v="Single"/>
    <s v="2020-10-21"/>
    <m/>
    <x v="1"/>
    <x v="419"/>
    <n v="1"/>
    <x v="1"/>
    <x v="1"/>
    <n v="20"/>
    <n v="5.8"/>
    <s v="Medium"/>
  </r>
  <r>
    <x v="421"/>
    <s v="Ritu Pillai"/>
    <x v="5"/>
    <s v="Account Manager"/>
    <x v="1"/>
    <n v="57"/>
    <s v="Married"/>
    <s v="2021-05-26"/>
    <s v="2023-01-18"/>
    <x v="0"/>
    <x v="420"/>
    <n v="1"/>
    <x v="4"/>
    <x v="0"/>
    <n v="3"/>
    <n v="1.6"/>
    <s v="N/A"/>
  </r>
  <r>
    <x v="422"/>
    <s v="Sanjay Rao"/>
    <x v="2"/>
    <s v="Recruiter"/>
    <x v="0"/>
    <n v="41"/>
    <s v="Married"/>
    <s v="2016-01-12"/>
    <m/>
    <x v="1"/>
    <x v="421"/>
    <n v="2"/>
    <x v="0"/>
    <x v="0"/>
    <n v="5"/>
    <n v="10.6"/>
    <s v="Low"/>
  </r>
  <r>
    <x v="423"/>
    <s v="Ashok Nair"/>
    <x v="1"/>
    <s v="System Analyst"/>
    <x v="0"/>
    <n v="24"/>
    <s v="Married"/>
    <s v="2023-03-13"/>
    <m/>
    <x v="1"/>
    <x v="422"/>
    <n v="1"/>
    <x v="2"/>
    <x v="0"/>
    <n v="4"/>
    <n v="3.4"/>
    <s v="Low"/>
  </r>
  <r>
    <x v="424"/>
    <s v="Sanjay Bhatt"/>
    <x v="4"/>
    <s v="Accountant"/>
    <x v="0"/>
    <n v="22"/>
    <s v="Single"/>
    <s v="2022-02-09"/>
    <m/>
    <x v="1"/>
    <x v="423"/>
    <n v="1"/>
    <x v="2"/>
    <x v="0"/>
    <n v="20"/>
    <n v="4.5"/>
    <s v="Low"/>
  </r>
  <r>
    <x v="425"/>
    <s v="Payal Mehta"/>
    <x v="3"/>
    <s v="Operations Executive"/>
    <x v="1"/>
    <n v="31"/>
    <s v="Divorced"/>
    <s v="2015-07-26"/>
    <s v="2020-07-28"/>
    <x v="0"/>
    <x v="424"/>
    <n v="4"/>
    <x v="2"/>
    <x v="0"/>
    <n v="39"/>
    <n v="5"/>
    <s v="N/A"/>
  </r>
  <r>
    <x v="426"/>
    <s v="Arjun Reddy"/>
    <x v="2"/>
    <s v="HR Manager"/>
    <x v="0"/>
    <n v="27"/>
    <s v="Single"/>
    <s v="2020-05-03"/>
    <m/>
    <x v="1"/>
    <x v="425"/>
    <n v="5"/>
    <x v="3"/>
    <x v="0"/>
    <n v="26"/>
    <n v="6.3"/>
    <s v="Medium"/>
  </r>
  <r>
    <x v="427"/>
    <s v="Arjun Das"/>
    <x v="4"/>
    <s v="Finance Manager"/>
    <x v="0"/>
    <n v="57"/>
    <s v="Divorced"/>
    <s v="2017-03-22"/>
    <m/>
    <x v="1"/>
    <x v="426"/>
    <n v="2"/>
    <x v="0"/>
    <x v="0"/>
    <n v="36"/>
    <n v="9.4"/>
    <s v="Low"/>
  </r>
  <r>
    <x v="428"/>
    <s v="Nisha Reddy"/>
    <x v="1"/>
    <s v="Software Engineer"/>
    <x v="1"/>
    <n v="58"/>
    <s v="Single"/>
    <s v="2016-01-02"/>
    <m/>
    <x v="1"/>
    <x v="427"/>
    <n v="4"/>
    <x v="2"/>
    <x v="1"/>
    <n v="24"/>
    <n v="10.6"/>
    <s v="Medium"/>
  </r>
  <r>
    <x v="429"/>
    <s v="Deepak Joshi"/>
    <x v="3"/>
    <s v="Logistics Coordinator"/>
    <x v="0"/>
    <n v="44"/>
    <s v="Single"/>
    <s v="2021-11-29"/>
    <m/>
    <x v="1"/>
    <x v="428"/>
    <n v="5"/>
    <x v="2"/>
    <x v="0"/>
    <n v="10"/>
    <n v="4.7"/>
    <s v="Low"/>
  </r>
  <r>
    <x v="430"/>
    <s v="Sneha Patel"/>
    <x v="1"/>
    <s v="Software Engineer"/>
    <x v="1"/>
    <n v="29"/>
    <s v="Married"/>
    <s v="2023-04-18"/>
    <m/>
    <x v="1"/>
    <x v="429"/>
    <n v="2"/>
    <x v="0"/>
    <x v="1"/>
    <n v="19"/>
    <n v="3.3"/>
    <s v="Medium"/>
  </r>
  <r>
    <x v="431"/>
    <s v="Komal Sharma"/>
    <x v="5"/>
    <s v="Sales Manager"/>
    <x v="1"/>
    <n v="43"/>
    <s v="Married"/>
    <s v="2017-05-06"/>
    <m/>
    <x v="1"/>
    <x v="430"/>
    <n v="2"/>
    <x v="4"/>
    <x v="0"/>
    <n v="35"/>
    <n v="9.3000000000000007"/>
    <s v="Medium"/>
  </r>
  <r>
    <x v="432"/>
    <s v="Rahul Chopra"/>
    <x v="3"/>
    <s v="Logistics Coordinator"/>
    <x v="0"/>
    <n v="55"/>
    <s v="Divorced"/>
    <s v="2015-06-28"/>
    <m/>
    <x v="1"/>
    <x v="431"/>
    <n v="3"/>
    <x v="3"/>
    <x v="1"/>
    <n v="13"/>
    <n v="11.1"/>
    <s v="High"/>
  </r>
  <r>
    <x v="433"/>
    <s v="Vikram Chopra"/>
    <x v="5"/>
    <s v="Sales Manager"/>
    <x v="0"/>
    <n v="39"/>
    <s v="Divorced"/>
    <s v="2022-06-08"/>
    <m/>
    <x v="1"/>
    <x v="432"/>
    <n v="1"/>
    <x v="1"/>
    <x v="0"/>
    <n v="2"/>
    <n v="4.2"/>
    <s v="Low"/>
  </r>
  <r>
    <x v="434"/>
    <s v="Anil Das"/>
    <x v="4"/>
    <s v="Finance Manager"/>
    <x v="0"/>
    <n v="56"/>
    <s v="Divorced"/>
    <s v="2015-12-27"/>
    <s v="2018-12-04"/>
    <x v="0"/>
    <x v="433"/>
    <n v="4"/>
    <x v="0"/>
    <x v="1"/>
    <n v="36"/>
    <n v="2.9"/>
    <s v="N/A"/>
  </r>
  <r>
    <x v="435"/>
    <s v="Komal Chopra"/>
    <x v="3"/>
    <s v="Operations Manager"/>
    <x v="1"/>
    <n v="32"/>
    <s v="Single"/>
    <s v="2015-03-17"/>
    <m/>
    <x v="1"/>
    <x v="434"/>
    <n v="3"/>
    <x v="1"/>
    <x v="1"/>
    <n v="41"/>
    <n v="11.4"/>
    <s v="Medium"/>
  </r>
  <r>
    <x v="436"/>
    <s v="Manoj Chopra"/>
    <x v="3"/>
    <s v="Operations Manager"/>
    <x v="0"/>
    <n v="23"/>
    <s v="Married"/>
    <s v="2021-03-23"/>
    <m/>
    <x v="1"/>
    <x v="435"/>
    <n v="2"/>
    <x v="4"/>
    <x v="0"/>
    <n v="22"/>
    <n v="5.4"/>
    <s v="Medium"/>
  </r>
  <r>
    <x v="437"/>
    <s v="Payal Bhatt"/>
    <x v="5"/>
    <s v="Account Manager"/>
    <x v="1"/>
    <n v="36"/>
    <s v="Divorced"/>
    <s v="2019-09-06"/>
    <s v="2025-12-03"/>
    <x v="0"/>
    <x v="436"/>
    <n v="4"/>
    <x v="4"/>
    <x v="1"/>
    <n v="20"/>
    <n v="6.2"/>
    <s v="N/A"/>
  </r>
  <r>
    <x v="438"/>
    <s v="Prakash Bose"/>
    <x v="1"/>
    <s v="Software Engineer"/>
    <x v="0"/>
    <n v="34"/>
    <s v="Single"/>
    <s v="2024-09-03"/>
    <m/>
    <x v="1"/>
    <x v="437"/>
    <n v="2"/>
    <x v="0"/>
    <x v="1"/>
    <n v="28"/>
    <n v="1.9"/>
    <s v="Medium"/>
  </r>
  <r>
    <x v="439"/>
    <s v="Anjali Bose"/>
    <x v="3"/>
    <s v="Operations Executive"/>
    <x v="1"/>
    <n v="56"/>
    <s v="Married"/>
    <s v="2023-01-25"/>
    <m/>
    <x v="1"/>
    <x v="438"/>
    <n v="2"/>
    <x v="1"/>
    <x v="1"/>
    <n v="2"/>
    <n v="3.5"/>
    <s v="Medium"/>
  </r>
  <r>
    <x v="440"/>
    <s v="Rita Rao"/>
    <x v="4"/>
    <s v="Accountant"/>
    <x v="1"/>
    <n v="31"/>
    <s v="Divorced"/>
    <s v="2023-09-27"/>
    <m/>
    <x v="1"/>
    <x v="439"/>
    <n v="2"/>
    <x v="4"/>
    <x v="1"/>
    <n v="2"/>
    <n v="2.9"/>
    <s v="High"/>
  </r>
  <r>
    <x v="441"/>
    <s v="Ashok Mehta"/>
    <x v="3"/>
    <s v="Logistics Coordinator"/>
    <x v="0"/>
    <n v="36"/>
    <s v="Divorced"/>
    <s v="2022-09-16"/>
    <m/>
    <x v="1"/>
    <x v="440"/>
    <n v="4"/>
    <x v="3"/>
    <x v="1"/>
    <n v="9"/>
    <n v="3.9"/>
    <s v="High"/>
  </r>
  <r>
    <x v="442"/>
    <s v="Nikhil Das"/>
    <x v="0"/>
    <s v="Marketing Manager"/>
    <x v="0"/>
    <n v="52"/>
    <s v="Single"/>
    <s v="2016-07-17"/>
    <m/>
    <x v="1"/>
    <x v="441"/>
    <n v="1"/>
    <x v="4"/>
    <x v="1"/>
    <n v="27"/>
    <n v="10.1"/>
    <s v="High"/>
  </r>
  <r>
    <x v="443"/>
    <s v="Karan Patel"/>
    <x v="4"/>
    <s v="Financial Analyst"/>
    <x v="0"/>
    <n v="33"/>
    <s v="Married"/>
    <s v="2025-05-25"/>
    <m/>
    <x v="1"/>
    <x v="442"/>
    <n v="5"/>
    <x v="2"/>
    <x v="0"/>
    <n v="32"/>
    <n v="1.2"/>
    <s v="Low"/>
  </r>
  <r>
    <x v="444"/>
    <s v="Neha Bhatt"/>
    <x v="1"/>
    <s v="System Analyst"/>
    <x v="1"/>
    <n v="46"/>
    <s v="Divorced"/>
    <s v="2023-01-28"/>
    <m/>
    <x v="1"/>
    <x v="443"/>
    <n v="5"/>
    <x v="0"/>
    <x v="1"/>
    <n v="39"/>
    <n v="3.5"/>
    <s v="Medium"/>
  </r>
  <r>
    <x v="445"/>
    <s v="Vivek Kapoor"/>
    <x v="0"/>
    <s v="Marketing Executive"/>
    <x v="0"/>
    <n v="24"/>
    <s v="Single"/>
    <s v="2024-11-04"/>
    <m/>
    <x v="1"/>
    <x v="444"/>
    <n v="5"/>
    <x v="0"/>
    <x v="0"/>
    <n v="26"/>
    <n v="1.8"/>
    <s v="Low"/>
  </r>
  <r>
    <x v="446"/>
    <s v="Karan Nair"/>
    <x v="3"/>
    <s v="Logistics Coordinator"/>
    <x v="0"/>
    <n v="50"/>
    <s v="Married"/>
    <s v="2019-06-19"/>
    <m/>
    <x v="1"/>
    <x v="445"/>
    <n v="4"/>
    <x v="1"/>
    <x v="0"/>
    <n v="11"/>
    <n v="7.1"/>
    <s v="Low"/>
  </r>
  <r>
    <x v="447"/>
    <s v="Vivek Kapoor"/>
    <x v="5"/>
    <s v="Account Manager"/>
    <x v="0"/>
    <n v="27"/>
    <s v="Single"/>
    <s v="2023-02-07"/>
    <m/>
    <x v="1"/>
    <x v="446"/>
    <n v="5"/>
    <x v="4"/>
    <x v="0"/>
    <n v="45"/>
    <n v="3.5"/>
    <s v="Medium"/>
  </r>
  <r>
    <x v="448"/>
    <s v="Rohan Kapoor"/>
    <x v="2"/>
    <s v="HR Manager"/>
    <x v="0"/>
    <n v="34"/>
    <s v="Divorced"/>
    <s v="2024-11-23"/>
    <m/>
    <x v="1"/>
    <x v="447"/>
    <n v="3"/>
    <x v="1"/>
    <x v="0"/>
    <n v="45"/>
    <n v="1.7"/>
    <s v="Low"/>
  </r>
  <r>
    <x v="449"/>
    <s v="Vikram Kumar"/>
    <x v="0"/>
    <s v="Content Specialist"/>
    <x v="0"/>
    <n v="50"/>
    <s v="Single"/>
    <s v="2022-02-10"/>
    <m/>
    <x v="1"/>
    <x v="448"/>
    <n v="4"/>
    <x v="0"/>
    <x v="0"/>
    <n v="33"/>
    <n v="4.5"/>
    <s v="Low"/>
  </r>
  <r>
    <x v="450"/>
    <s v="Anil Chauhan"/>
    <x v="4"/>
    <s v="Financial Analyst"/>
    <x v="0"/>
    <n v="31"/>
    <s v="Married"/>
    <s v="2016-10-26"/>
    <m/>
    <x v="1"/>
    <x v="449"/>
    <n v="1"/>
    <x v="4"/>
    <x v="0"/>
    <n v="27"/>
    <n v="9.8000000000000007"/>
    <s v="Medium"/>
  </r>
  <r>
    <x v="451"/>
    <s v="Suresh Singh"/>
    <x v="4"/>
    <s v="Accountant"/>
    <x v="0"/>
    <n v="34"/>
    <s v="Married"/>
    <s v="2015-01-15"/>
    <m/>
    <x v="1"/>
    <x v="450"/>
    <n v="1"/>
    <x v="1"/>
    <x v="0"/>
    <n v="30"/>
    <n v="11.6"/>
    <s v="Low"/>
  </r>
  <r>
    <x v="452"/>
    <s v="Divya Gupta"/>
    <x v="5"/>
    <s v="Account Manager"/>
    <x v="1"/>
    <n v="52"/>
    <s v="Single"/>
    <s v="2020-02-02"/>
    <m/>
    <x v="1"/>
    <x v="451"/>
    <n v="5"/>
    <x v="3"/>
    <x v="0"/>
    <n v="39"/>
    <n v="6.5"/>
    <s v="Medium"/>
  </r>
  <r>
    <x v="453"/>
    <s v="Amit Joshi"/>
    <x v="2"/>
    <s v="Recruiter"/>
    <x v="0"/>
    <n v="31"/>
    <s v="Divorced"/>
    <s v="2015-08-14"/>
    <m/>
    <x v="1"/>
    <x v="452"/>
    <n v="2"/>
    <x v="3"/>
    <x v="0"/>
    <n v="3"/>
    <n v="11"/>
    <s v="Medium"/>
  </r>
  <r>
    <x v="454"/>
    <s v="Amit Kumar"/>
    <x v="2"/>
    <s v="HR Manager"/>
    <x v="0"/>
    <n v="48"/>
    <s v="Divorced"/>
    <s v="2016-12-31"/>
    <m/>
    <x v="1"/>
    <x v="453"/>
    <n v="5"/>
    <x v="1"/>
    <x v="1"/>
    <n v="43"/>
    <n v="9.6"/>
    <s v="Medium"/>
  </r>
  <r>
    <x v="455"/>
    <s v="Seema Iyer"/>
    <x v="3"/>
    <s v="Operations Executive"/>
    <x v="1"/>
    <n v="24"/>
    <s v="Single"/>
    <s v="2016-01-17"/>
    <m/>
    <x v="1"/>
    <x v="454"/>
    <n v="3"/>
    <x v="1"/>
    <x v="0"/>
    <n v="25"/>
    <n v="10.6"/>
    <s v="Low"/>
  </r>
  <r>
    <x v="456"/>
    <s v="Komal Singh"/>
    <x v="3"/>
    <s v="Operations Executive"/>
    <x v="1"/>
    <n v="29"/>
    <s v="Single"/>
    <s v="2022-10-16"/>
    <m/>
    <x v="1"/>
    <x v="455"/>
    <n v="5"/>
    <x v="1"/>
    <x v="0"/>
    <n v="27"/>
    <n v="3.8"/>
    <s v="Low"/>
  </r>
  <r>
    <x v="457"/>
    <s v="Prakash Pillai"/>
    <x v="3"/>
    <s v="Operations Executive"/>
    <x v="0"/>
    <n v="27"/>
    <s v="Married"/>
    <s v="2020-06-04"/>
    <m/>
    <x v="1"/>
    <x v="456"/>
    <n v="3"/>
    <x v="0"/>
    <x v="0"/>
    <n v="28"/>
    <n v="6.2"/>
    <s v="Low"/>
  </r>
  <r>
    <x v="458"/>
    <s v="Sneha Bhatt"/>
    <x v="3"/>
    <s v="Logistics Coordinator"/>
    <x v="1"/>
    <n v="58"/>
    <s v="Divorced"/>
    <s v="2020-07-26"/>
    <m/>
    <x v="1"/>
    <x v="457"/>
    <n v="4"/>
    <x v="2"/>
    <x v="0"/>
    <n v="12"/>
    <n v="6"/>
    <s v="Low"/>
  </r>
  <r>
    <x v="459"/>
    <s v="Suresh Sharma"/>
    <x v="2"/>
    <s v="HR Executive"/>
    <x v="0"/>
    <n v="51"/>
    <s v="Single"/>
    <s v="2022-01-05"/>
    <m/>
    <x v="1"/>
    <x v="458"/>
    <n v="5"/>
    <x v="4"/>
    <x v="0"/>
    <n v="27"/>
    <n v="4.5999999999999996"/>
    <s v="Medium"/>
  </r>
  <r>
    <x v="460"/>
    <s v="Rahul Gupta"/>
    <x v="3"/>
    <s v="Logistics Coordinator"/>
    <x v="0"/>
    <n v="40"/>
    <s v="Married"/>
    <s v="2017-11-08"/>
    <m/>
    <x v="1"/>
    <x v="459"/>
    <n v="3"/>
    <x v="1"/>
    <x v="0"/>
    <n v="33"/>
    <n v="8.8000000000000007"/>
    <s v="Low"/>
  </r>
  <r>
    <x v="461"/>
    <s v="Rekha Chopra"/>
    <x v="5"/>
    <s v="Account Manager"/>
    <x v="1"/>
    <n v="58"/>
    <s v="Married"/>
    <s v="2021-11-28"/>
    <m/>
    <x v="1"/>
    <x v="460"/>
    <n v="2"/>
    <x v="4"/>
    <x v="0"/>
    <n v="22"/>
    <n v="4.7"/>
    <s v="Medium"/>
  </r>
  <r>
    <x v="462"/>
    <s v="Arjun Das"/>
    <x v="4"/>
    <s v="Accountant"/>
    <x v="0"/>
    <n v="31"/>
    <s v="Married"/>
    <s v="2022-01-13"/>
    <m/>
    <x v="1"/>
    <x v="461"/>
    <n v="3"/>
    <x v="0"/>
    <x v="0"/>
    <n v="30"/>
    <n v="4.5999999999999996"/>
    <s v="Low"/>
  </r>
  <r>
    <x v="463"/>
    <s v="Seema Reddy"/>
    <x v="5"/>
    <s v="Account Manager"/>
    <x v="1"/>
    <n v="57"/>
    <s v="Single"/>
    <s v="2021-01-03"/>
    <s v="2021-05-06"/>
    <x v="0"/>
    <x v="462"/>
    <n v="3"/>
    <x v="0"/>
    <x v="1"/>
    <n v="23"/>
    <n v="0.3"/>
    <s v="N/A"/>
  </r>
  <r>
    <x v="464"/>
    <s v="Prakash Bhatt"/>
    <x v="2"/>
    <s v="HR Manager"/>
    <x v="0"/>
    <n v="46"/>
    <s v="Married"/>
    <s v="2017-02-06"/>
    <s v="2019-12-06"/>
    <x v="0"/>
    <x v="463"/>
    <n v="3"/>
    <x v="1"/>
    <x v="0"/>
    <n v="3"/>
    <n v="2.8"/>
    <s v="N/A"/>
  </r>
  <r>
    <x v="465"/>
    <s v="Meena Pillai"/>
    <x v="2"/>
    <s v="HR Manager"/>
    <x v="1"/>
    <n v="41"/>
    <s v="Divorced"/>
    <s v="2016-12-17"/>
    <s v="2022-07-15"/>
    <x v="0"/>
    <x v="464"/>
    <n v="2"/>
    <x v="3"/>
    <x v="1"/>
    <n v="6"/>
    <n v="5.6"/>
    <s v="N/A"/>
  </r>
  <r>
    <x v="466"/>
    <s v="Anil Das"/>
    <x v="3"/>
    <s v="Operations Executive"/>
    <x v="0"/>
    <n v="55"/>
    <s v="Single"/>
    <s v="2018-06-25"/>
    <s v="2019-01-20"/>
    <x v="0"/>
    <x v="465"/>
    <n v="1"/>
    <x v="4"/>
    <x v="0"/>
    <n v="34"/>
    <n v="0.6"/>
    <s v="N/A"/>
  </r>
  <r>
    <x v="467"/>
    <s v="Rahul Nair"/>
    <x v="4"/>
    <s v="Accountant"/>
    <x v="0"/>
    <n v="24"/>
    <s v="Single"/>
    <s v="2022-09-15"/>
    <s v="2026-07-25"/>
    <x v="0"/>
    <x v="466"/>
    <n v="3"/>
    <x v="3"/>
    <x v="0"/>
    <n v="30"/>
    <n v="3.9"/>
    <s v="N/A"/>
  </r>
  <r>
    <x v="468"/>
    <s v="Prakash Nair"/>
    <x v="0"/>
    <s v="Marketing Manager"/>
    <x v="0"/>
    <n v="35"/>
    <s v="Married"/>
    <s v="2018-08-07"/>
    <m/>
    <x v="1"/>
    <x v="467"/>
    <n v="3"/>
    <x v="1"/>
    <x v="1"/>
    <n v="35"/>
    <n v="8"/>
    <s v="Medium"/>
  </r>
  <r>
    <x v="469"/>
    <s v="Manoj Kumar"/>
    <x v="2"/>
    <s v="HR Executive"/>
    <x v="0"/>
    <n v="22"/>
    <s v="Divorced"/>
    <s v="2021-12-26"/>
    <s v="2022-12-10"/>
    <x v="0"/>
    <x v="468"/>
    <n v="2"/>
    <x v="3"/>
    <x v="0"/>
    <n v="35"/>
    <n v="1"/>
    <s v="N/A"/>
  </r>
  <r>
    <x v="470"/>
    <s v="Rohan Patel"/>
    <x v="0"/>
    <s v="Marketing Manager"/>
    <x v="0"/>
    <n v="41"/>
    <s v="Single"/>
    <s v="2021-11-16"/>
    <m/>
    <x v="1"/>
    <x v="469"/>
    <n v="4"/>
    <x v="0"/>
    <x v="0"/>
    <n v="4"/>
    <n v="4.7"/>
    <s v="Low"/>
  </r>
  <r>
    <x v="471"/>
    <s v="Nikhil Verma"/>
    <x v="0"/>
    <s v="Marketing Executive"/>
    <x v="0"/>
    <n v="27"/>
    <s v="Divorced"/>
    <s v="2019-10-13"/>
    <m/>
    <x v="1"/>
    <x v="470"/>
    <n v="5"/>
    <x v="0"/>
    <x v="0"/>
    <n v="41"/>
    <n v="6.8"/>
    <s v="Low"/>
  </r>
  <r>
    <x v="472"/>
    <s v="Rekha Gupta"/>
    <x v="3"/>
    <s v="Operations Manager"/>
    <x v="1"/>
    <n v="56"/>
    <s v="Divorced"/>
    <s v="2015-11-18"/>
    <m/>
    <x v="1"/>
    <x v="471"/>
    <n v="5"/>
    <x v="2"/>
    <x v="0"/>
    <n v="9"/>
    <n v="10.7"/>
    <s v="Low"/>
  </r>
  <r>
    <x v="473"/>
    <s v="Komal Mehta"/>
    <x v="4"/>
    <s v="Accountant"/>
    <x v="1"/>
    <n v="36"/>
    <s v="Single"/>
    <s v="2016-08-11"/>
    <m/>
    <x v="1"/>
    <x v="472"/>
    <n v="3"/>
    <x v="0"/>
    <x v="0"/>
    <n v="24"/>
    <n v="10"/>
    <s v="Low"/>
  </r>
  <r>
    <x v="474"/>
    <s v="Rita Das"/>
    <x v="0"/>
    <s v="Marketing Manager"/>
    <x v="1"/>
    <n v="23"/>
    <s v="Single"/>
    <s v="2015-09-25"/>
    <m/>
    <x v="1"/>
    <x v="473"/>
    <n v="4"/>
    <x v="1"/>
    <x v="0"/>
    <n v="30"/>
    <n v="10.9"/>
    <s v="Low"/>
  </r>
  <r>
    <x v="475"/>
    <s v="Rajesh Kumar"/>
    <x v="2"/>
    <s v="Recruiter"/>
    <x v="0"/>
    <n v="47"/>
    <s v="Single"/>
    <s v="2024-03-02"/>
    <m/>
    <x v="1"/>
    <x v="474"/>
    <n v="3"/>
    <x v="3"/>
    <x v="0"/>
    <n v="36"/>
    <n v="2.4"/>
    <s v="Medium"/>
  </r>
  <r>
    <x v="476"/>
    <s v="Seema Malhotra"/>
    <x v="3"/>
    <s v="Operations Manager"/>
    <x v="1"/>
    <n v="37"/>
    <s v="Married"/>
    <s v="2021-12-18"/>
    <s v="2026-01-07"/>
    <x v="0"/>
    <x v="475"/>
    <n v="4"/>
    <x v="4"/>
    <x v="1"/>
    <n v="25"/>
    <n v="4.0999999999999996"/>
    <s v="N/A"/>
  </r>
  <r>
    <x v="477"/>
    <s v="Seema Reddy"/>
    <x v="3"/>
    <s v="Operations Manager"/>
    <x v="1"/>
    <n v="56"/>
    <s v="Divorced"/>
    <s v="2022-10-14"/>
    <m/>
    <x v="1"/>
    <x v="476"/>
    <n v="5"/>
    <x v="3"/>
    <x v="1"/>
    <n v="32"/>
    <n v="3.8"/>
    <s v="High"/>
  </r>
  <r>
    <x v="478"/>
    <s v="Vivek Joshi"/>
    <x v="2"/>
    <s v="Recruiter"/>
    <x v="0"/>
    <n v="41"/>
    <s v="Married"/>
    <s v="2019-07-21"/>
    <m/>
    <x v="1"/>
    <x v="477"/>
    <n v="5"/>
    <x v="3"/>
    <x v="1"/>
    <n v="25"/>
    <n v="7.1"/>
    <s v="High"/>
  </r>
  <r>
    <x v="479"/>
    <s v="Arjun Chauhan"/>
    <x v="5"/>
    <s v="Sales Executive"/>
    <x v="0"/>
    <n v="22"/>
    <s v="Married"/>
    <s v="2023-06-28"/>
    <m/>
    <x v="1"/>
    <x v="478"/>
    <n v="4"/>
    <x v="4"/>
    <x v="1"/>
    <n v="35"/>
    <n v="3.1"/>
    <s v="High"/>
  </r>
  <r>
    <x v="480"/>
    <s v="Anil Nair"/>
    <x v="4"/>
    <s v="Financial Analyst"/>
    <x v="0"/>
    <n v="58"/>
    <s v="Divorced"/>
    <s v="2023-11-28"/>
    <s v="2025-07-02"/>
    <x v="0"/>
    <x v="479"/>
    <n v="4"/>
    <x v="1"/>
    <x v="0"/>
    <n v="23"/>
    <n v="1.6"/>
    <s v="N/A"/>
  </r>
  <r>
    <x v="481"/>
    <s v="Neha Iyer"/>
    <x v="4"/>
    <s v="Financial Analyst"/>
    <x v="1"/>
    <n v="57"/>
    <s v="Married"/>
    <s v="2015-08-06"/>
    <m/>
    <x v="1"/>
    <x v="480"/>
    <n v="3"/>
    <x v="0"/>
    <x v="1"/>
    <n v="8"/>
    <n v="11"/>
    <s v="Medium"/>
  </r>
  <r>
    <x v="482"/>
    <s v="Rekha Chopra"/>
    <x v="1"/>
    <s v="System Analyst"/>
    <x v="1"/>
    <n v="47"/>
    <s v="Single"/>
    <s v="2019-04-12"/>
    <m/>
    <x v="1"/>
    <x v="481"/>
    <n v="2"/>
    <x v="4"/>
    <x v="0"/>
    <n v="31"/>
    <n v="7.3"/>
    <s v="Medium"/>
  </r>
  <r>
    <x v="483"/>
    <s v="Deepak Singh"/>
    <x v="2"/>
    <s v="HR Manager"/>
    <x v="0"/>
    <n v="30"/>
    <s v="Married"/>
    <s v="2015-02-17"/>
    <m/>
    <x v="1"/>
    <x v="482"/>
    <n v="2"/>
    <x v="3"/>
    <x v="1"/>
    <n v="32"/>
    <n v="11.5"/>
    <s v="High"/>
  </r>
  <r>
    <x v="484"/>
    <s v="Ravi Kapoor"/>
    <x v="1"/>
    <s v="Software Engineer"/>
    <x v="0"/>
    <n v="49"/>
    <s v="Married"/>
    <s v="2021-12-27"/>
    <m/>
    <x v="1"/>
    <x v="483"/>
    <n v="4"/>
    <x v="0"/>
    <x v="1"/>
    <n v="36"/>
    <n v="4.5999999999999996"/>
    <s v="Medium"/>
  </r>
  <r>
    <x v="485"/>
    <s v="Nidhi Sharma"/>
    <x v="1"/>
    <s v="Software Engineer"/>
    <x v="1"/>
    <n v="58"/>
    <s v="Divorced"/>
    <s v="2020-08-02"/>
    <m/>
    <x v="1"/>
    <x v="484"/>
    <n v="5"/>
    <x v="4"/>
    <x v="0"/>
    <n v="18"/>
    <n v="6"/>
    <s v="Medium"/>
  </r>
  <r>
    <x v="486"/>
    <s v="Sunita Kumar"/>
    <x v="5"/>
    <s v="Sales Executive"/>
    <x v="1"/>
    <n v="52"/>
    <s v="Single"/>
    <s v="2022-09-29"/>
    <m/>
    <x v="1"/>
    <x v="485"/>
    <n v="3"/>
    <x v="0"/>
    <x v="1"/>
    <n v="30"/>
    <n v="3.9"/>
    <s v="Medium"/>
  </r>
  <r>
    <x v="487"/>
    <s v="Gaurav Patel"/>
    <x v="3"/>
    <s v="Operations Executive"/>
    <x v="0"/>
    <n v="56"/>
    <s v="Single"/>
    <s v="2023-12-14"/>
    <m/>
    <x v="1"/>
    <x v="486"/>
    <n v="1"/>
    <x v="0"/>
    <x v="0"/>
    <n v="22"/>
    <n v="2.6"/>
    <s v="Low"/>
  </r>
  <r>
    <x v="488"/>
    <s v="Nisha Iyer"/>
    <x v="3"/>
    <s v="Operations Manager"/>
    <x v="1"/>
    <n v="40"/>
    <s v="Single"/>
    <s v="2018-03-30"/>
    <m/>
    <x v="1"/>
    <x v="487"/>
    <n v="3"/>
    <x v="0"/>
    <x v="1"/>
    <n v="37"/>
    <n v="8.4"/>
    <s v="Medium"/>
  </r>
  <r>
    <x v="489"/>
    <s v="Deepak Bhatt"/>
    <x v="3"/>
    <s v="Operations Executive"/>
    <x v="0"/>
    <n v="23"/>
    <s v="Married"/>
    <s v="2018-03-20"/>
    <s v="2025-04-14"/>
    <x v="0"/>
    <x v="488"/>
    <n v="5"/>
    <x v="4"/>
    <x v="0"/>
    <n v="5"/>
    <n v="7.1"/>
    <s v="N/A"/>
  </r>
  <r>
    <x v="490"/>
    <s v="Priya Kumar"/>
    <x v="2"/>
    <s v="HR Manager"/>
    <x v="1"/>
    <n v="33"/>
    <s v="Single"/>
    <s v="2025-03-16"/>
    <s v="2026-05-08"/>
    <x v="0"/>
    <x v="489"/>
    <n v="4"/>
    <x v="4"/>
    <x v="0"/>
    <n v="24"/>
    <n v="1.1000000000000001"/>
    <s v="N/A"/>
  </r>
  <r>
    <x v="491"/>
    <s v="Rajesh Verma"/>
    <x v="1"/>
    <s v="System Analyst"/>
    <x v="0"/>
    <n v="43"/>
    <s v="Married"/>
    <s v="2015-12-12"/>
    <m/>
    <x v="1"/>
    <x v="490"/>
    <n v="2"/>
    <x v="0"/>
    <x v="0"/>
    <n v="32"/>
    <n v="10.7"/>
    <s v="Low"/>
  </r>
  <r>
    <x v="492"/>
    <s v="Kavita Gupta"/>
    <x v="1"/>
    <s v="IT Support"/>
    <x v="1"/>
    <n v="58"/>
    <s v="Single"/>
    <s v="2023-03-27"/>
    <m/>
    <x v="1"/>
    <x v="491"/>
    <n v="3"/>
    <x v="3"/>
    <x v="0"/>
    <n v="8"/>
    <n v="3.4"/>
    <s v="Medium"/>
  </r>
  <r>
    <x v="493"/>
    <s v="Ritu Mehta"/>
    <x v="4"/>
    <s v="Accountant"/>
    <x v="1"/>
    <n v="46"/>
    <s v="Married"/>
    <s v="2022-08-31"/>
    <s v="2025-05-06"/>
    <x v="0"/>
    <x v="492"/>
    <n v="3"/>
    <x v="2"/>
    <x v="0"/>
    <n v="10"/>
    <n v="2.7"/>
    <s v="N/A"/>
  </r>
  <r>
    <x v="494"/>
    <s v="Payal Verma"/>
    <x v="4"/>
    <s v="Finance Manager"/>
    <x v="1"/>
    <n v="28"/>
    <s v="Divorced"/>
    <s v="2025-04-16"/>
    <m/>
    <x v="1"/>
    <x v="493"/>
    <n v="4"/>
    <x v="1"/>
    <x v="0"/>
    <n v="40"/>
    <n v="1.3"/>
    <s v="Low"/>
  </r>
  <r>
    <x v="495"/>
    <s v="Pooja Rao"/>
    <x v="2"/>
    <s v="HR Manager"/>
    <x v="1"/>
    <n v="47"/>
    <s v="Married"/>
    <s v="2020-03-03"/>
    <m/>
    <x v="1"/>
    <x v="494"/>
    <n v="5"/>
    <x v="4"/>
    <x v="0"/>
    <n v="13"/>
    <n v="6.4"/>
    <s v="Medium"/>
  </r>
  <r>
    <x v="496"/>
    <s v="Rahul Patel"/>
    <x v="1"/>
    <s v="System Analyst"/>
    <x v="0"/>
    <n v="22"/>
    <s v="Divorced"/>
    <s v="2019-08-12"/>
    <s v="2021-12-09"/>
    <x v="0"/>
    <x v="495"/>
    <n v="4"/>
    <x v="3"/>
    <x v="1"/>
    <n v="23"/>
    <n v="2.2999999999999998"/>
    <s v="N/A"/>
  </r>
  <r>
    <x v="497"/>
    <s v="Amit Bhatt"/>
    <x v="5"/>
    <s v="Sales Executive"/>
    <x v="0"/>
    <n v="35"/>
    <s v="Married"/>
    <s v="2021-09-21"/>
    <m/>
    <x v="1"/>
    <x v="496"/>
    <n v="1"/>
    <x v="3"/>
    <x v="0"/>
    <n v="39"/>
    <n v="4.9000000000000004"/>
    <s v="Medium"/>
  </r>
  <r>
    <x v="498"/>
    <s v="Suresh Joshi"/>
    <x v="0"/>
    <s v="Content Specialist"/>
    <x v="0"/>
    <n v="38"/>
    <s v="Married"/>
    <s v="2018-04-21"/>
    <m/>
    <x v="1"/>
    <x v="497"/>
    <n v="4"/>
    <x v="3"/>
    <x v="0"/>
    <n v="18"/>
    <n v="8.3000000000000007"/>
    <s v="Medium"/>
  </r>
  <r>
    <x v="499"/>
    <s v="Kavita Patel"/>
    <x v="0"/>
    <s v="Marketing Manager"/>
    <x v="1"/>
    <n v="39"/>
    <s v="Married"/>
    <s v="2023-09-19"/>
    <s v="2024-01-28"/>
    <x v="0"/>
    <x v="498"/>
    <n v="3"/>
    <x v="2"/>
    <x v="1"/>
    <n v="4"/>
    <n v="0.4"/>
    <s v="N/A"/>
  </r>
  <r>
    <x v="500"/>
    <s v="Kavita Das"/>
    <x v="4"/>
    <s v="Financial Analyst"/>
    <x v="1"/>
    <n v="28"/>
    <s v="Single"/>
    <s v="2016-08-12"/>
    <m/>
    <x v="1"/>
    <x v="499"/>
    <n v="2"/>
    <x v="2"/>
    <x v="0"/>
    <n v="40"/>
    <n v="10"/>
    <s v="Low"/>
  </r>
  <r>
    <x v="501"/>
    <s v="Amit Patel"/>
    <x v="0"/>
    <s v="Marketing Manager"/>
    <x v="0"/>
    <n v="26"/>
    <s v="Divorced"/>
    <s v="2021-05-29"/>
    <m/>
    <x v="1"/>
    <x v="500"/>
    <n v="1"/>
    <x v="2"/>
    <x v="0"/>
    <n v="32"/>
    <n v="5.2"/>
    <s v="Low"/>
  </r>
  <r>
    <x v="502"/>
    <s v="Shweta Singh"/>
    <x v="5"/>
    <s v="Account Manager"/>
    <x v="1"/>
    <n v="43"/>
    <s v="Married"/>
    <s v="2025-02-22"/>
    <m/>
    <x v="1"/>
    <x v="501"/>
    <n v="5"/>
    <x v="3"/>
    <x v="0"/>
    <n v="32"/>
    <n v="1.5"/>
    <s v="Medium"/>
  </r>
  <r>
    <x v="503"/>
    <s v="Rahul Chopra"/>
    <x v="0"/>
    <s v="Marketing Executive"/>
    <x v="0"/>
    <n v="52"/>
    <s v="Married"/>
    <s v="2016-05-11"/>
    <s v="2023-10-12"/>
    <x v="0"/>
    <x v="502"/>
    <n v="3"/>
    <x v="1"/>
    <x v="0"/>
    <n v="44"/>
    <n v="7.4"/>
    <s v="N/A"/>
  </r>
  <r>
    <x v="504"/>
    <s v="Anjali Kapoor"/>
    <x v="5"/>
    <s v="Sales Manager"/>
    <x v="1"/>
    <n v="40"/>
    <s v="Single"/>
    <s v="2022-04-07"/>
    <s v="2024-08-12"/>
    <x v="0"/>
    <x v="503"/>
    <n v="1"/>
    <x v="0"/>
    <x v="1"/>
    <n v="25"/>
    <n v="2.4"/>
    <s v="N/A"/>
  </r>
  <r>
    <x v="505"/>
    <s v="Komal Patel"/>
    <x v="5"/>
    <s v="Account Manager"/>
    <x v="1"/>
    <n v="50"/>
    <s v="Divorced"/>
    <s v="2023-03-31"/>
    <s v="2025-08-03"/>
    <x v="0"/>
    <x v="504"/>
    <n v="2"/>
    <x v="3"/>
    <x v="1"/>
    <n v="2"/>
    <n v="2.2999999999999998"/>
    <s v="N/A"/>
  </r>
  <r>
    <x v="506"/>
    <s v="Komal Bose"/>
    <x v="5"/>
    <s v="Account Manager"/>
    <x v="1"/>
    <n v="50"/>
    <s v="Single"/>
    <s v="2015-03-09"/>
    <s v="2025-08-17"/>
    <x v="0"/>
    <x v="505"/>
    <n v="3"/>
    <x v="3"/>
    <x v="1"/>
    <n v="3"/>
    <n v="10.4"/>
    <s v="N/A"/>
  </r>
  <r>
    <x v="507"/>
    <s v="Prakash Mehta"/>
    <x v="0"/>
    <s v="Content Specialist"/>
    <x v="0"/>
    <n v="26"/>
    <s v="Divorced"/>
    <s v="2015-06-01"/>
    <s v="2023-06-11"/>
    <x v="0"/>
    <x v="506"/>
    <n v="1"/>
    <x v="2"/>
    <x v="0"/>
    <n v="31"/>
    <n v="8"/>
    <s v="N/A"/>
  </r>
  <r>
    <x v="508"/>
    <s v="Rohan Verma"/>
    <x v="0"/>
    <s v="Marketing Executive"/>
    <x v="0"/>
    <n v="41"/>
    <s v="Divorced"/>
    <s v="2024-03-15"/>
    <s v="2024-08-30"/>
    <x v="0"/>
    <x v="507"/>
    <n v="5"/>
    <x v="2"/>
    <x v="0"/>
    <n v="11"/>
    <n v="0.5"/>
    <s v="N/A"/>
  </r>
  <r>
    <x v="509"/>
    <s v="Vikram Gupta"/>
    <x v="5"/>
    <s v="Sales Manager"/>
    <x v="0"/>
    <n v="49"/>
    <s v="Divorced"/>
    <s v="2018-10-13"/>
    <m/>
    <x v="1"/>
    <x v="508"/>
    <n v="3"/>
    <x v="2"/>
    <x v="0"/>
    <n v="8"/>
    <n v="7.8"/>
    <s v="Low"/>
  </r>
  <r>
    <x v="510"/>
    <s v="Prakash Joshi"/>
    <x v="2"/>
    <s v="HR Executive"/>
    <x v="0"/>
    <n v="43"/>
    <s v="Married"/>
    <s v="2015-09-16"/>
    <m/>
    <x v="1"/>
    <x v="509"/>
    <n v="4"/>
    <x v="4"/>
    <x v="1"/>
    <n v="11"/>
    <n v="10.9"/>
    <s v="High"/>
  </r>
  <r>
    <x v="511"/>
    <s v="Arjun Kumar"/>
    <x v="4"/>
    <s v="Financial Analyst"/>
    <x v="0"/>
    <n v="46"/>
    <s v="Single"/>
    <s v="2023-09-21"/>
    <m/>
    <x v="1"/>
    <x v="510"/>
    <n v="1"/>
    <x v="2"/>
    <x v="1"/>
    <n v="1"/>
    <n v="2.9"/>
    <s v="Medium"/>
  </r>
  <r>
    <x v="512"/>
    <s v="Nisha Das"/>
    <x v="0"/>
    <s v="Content Specialist"/>
    <x v="1"/>
    <n v="30"/>
    <s v="Single"/>
    <s v="2017-04-24"/>
    <m/>
    <x v="1"/>
    <x v="511"/>
    <n v="5"/>
    <x v="1"/>
    <x v="1"/>
    <n v="29"/>
    <n v="9.3000000000000007"/>
    <s v="Medium"/>
  </r>
  <r>
    <x v="513"/>
    <s v="Ashok Joshi"/>
    <x v="3"/>
    <s v="Logistics Coordinator"/>
    <x v="0"/>
    <n v="53"/>
    <s v="Divorced"/>
    <s v="2021-11-11"/>
    <m/>
    <x v="1"/>
    <x v="512"/>
    <n v="3"/>
    <x v="1"/>
    <x v="0"/>
    <n v="27"/>
    <n v="4.7"/>
    <s v="Low"/>
  </r>
  <r>
    <x v="514"/>
    <s v="Ashok Iyer"/>
    <x v="5"/>
    <s v="Account Manager"/>
    <x v="0"/>
    <n v="56"/>
    <s v="Single"/>
    <s v="2020-09-09"/>
    <m/>
    <x v="1"/>
    <x v="513"/>
    <n v="3"/>
    <x v="4"/>
    <x v="1"/>
    <n v="4"/>
    <n v="5.9"/>
    <s v="High"/>
  </r>
  <r>
    <x v="515"/>
    <s v="Kavita Joshi"/>
    <x v="0"/>
    <s v="Marketing Manager"/>
    <x v="1"/>
    <n v="24"/>
    <s v="Married"/>
    <s v="2015-08-10"/>
    <m/>
    <x v="1"/>
    <x v="514"/>
    <n v="2"/>
    <x v="1"/>
    <x v="0"/>
    <n v="28"/>
    <n v="11"/>
    <s v="Low"/>
  </r>
  <r>
    <x v="516"/>
    <s v="Amit Bose"/>
    <x v="4"/>
    <s v="Financial Analyst"/>
    <x v="0"/>
    <n v="33"/>
    <s v="Single"/>
    <s v="2016-10-09"/>
    <m/>
    <x v="1"/>
    <x v="515"/>
    <n v="5"/>
    <x v="2"/>
    <x v="0"/>
    <n v="8"/>
    <n v="9.8000000000000007"/>
    <s v="Low"/>
  </r>
  <r>
    <x v="517"/>
    <s v="Nisha Gupta"/>
    <x v="3"/>
    <s v="Logistics Coordinator"/>
    <x v="1"/>
    <n v="42"/>
    <s v="Divorced"/>
    <s v="2017-07-31"/>
    <m/>
    <x v="1"/>
    <x v="516"/>
    <n v="2"/>
    <x v="1"/>
    <x v="0"/>
    <n v="7"/>
    <n v="9"/>
    <s v="Low"/>
  </r>
  <r>
    <x v="518"/>
    <s v="Vikram Das"/>
    <x v="1"/>
    <s v="System Analyst"/>
    <x v="0"/>
    <n v="53"/>
    <s v="Single"/>
    <s v="2015-08-11"/>
    <m/>
    <x v="1"/>
    <x v="517"/>
    <n v="2"/>
    <x v="4"/>
    <x v="0"/>
    <n v="40"/>
    <n v="11"/>
    <s v="Medium"/>
  </r>
  <r>
    <x v="519"/>
    <s v="Ajay Rao"/>
    <x v="1"/>
    <s v="System Analyst"/>
    <x v="0"/>
    <n v="34"/>
    <s v="Single"/>
    <s v="2018-10-07"/>
    <m/>
    <x v="1"/>
    <x v="518"/>
    <n v="1"/>
    <x v="0"/>
    <x v="1"/>
    <n v="18"/>
    <n v="7.8"/>
    <s v="Medium"/>
  </r>
  <r>
    <x v="520"/>
    <s v="Anil Mehta"/>
    <x v="4"/>
    <s v="Accountant"/>
    <x v="0"/>
    <n v="40"/>
    <s v="Single"/>
    <s v="2021-10-08"/>
    <s v="2024-11-09"/>
    <x v="0"/>
    <x v="519"/>
    <n v="2"/>
    <x v="0"/>
    <x v="1"/>
    <n v="37"/>
    <n v="3.1"/>
    <s v="N/A"/>
  </r>
  <r>
    <x v="521"/>
    <s v="Rita Rao"/>
    <x v="4"/>
    <s v="Financial Analyst"/>
    <x v="1"/>
    <n v="22"/>
    <s v="Divorced"/>
    <s v="2023-03-10"/>
    <s v="2024-03-09"/>
    <x v="0"/>
    <x v="520"/>
    <n v="2"/>
    <x v="4"/>
    <x v="0"/>
    <n v="21"/>
    <n v="1"/>
    <s v="N/A"/>
  </r>
  <r>
    <x v="522"/>
    <s v="Neha Verma"/>
    <x v="3"/>
    <s v="Operations Executive"/>
    <x v="1"/>
    <n v="52"/>
    <s v="Married"/>
    <s v="2023-03-24"/>
    <m/>
    <x v="1"/>
    <x v="521"/>
    <n v="4"/>
    <x v="3"/>
    <x v="0"/>
    <n v="34"/>
    <n v="3.4"/>
    <s v="Medium"/>
  </r>
  <r>
    <x v="523"/>
    <s v="Komal Mehta"/>
    <x v="0"/>
    <s v="Marketing Executive"/>
    <x v="1"/>
    <n v="27"/>
    <s v="Married"/>
    <s v="2021-04-06"/>
    <m/>
    <x v="1"/>
    <x v="522"/>
    <n v="2"/>
    <x v="2"/>
    <x v="0"/>
    <n v="9"/>
    <n v="5.3"/>
    <s v="Low"/>
  </r>
  <r>
    <x v="524"/>
    <s v="Anita Joshi"/>
    <x v="5"/>
    <s v="Sales Executive"/>
    <x v="1"/>
    <n v="51"/>
    <s v="Single"/>
    <s v="2024-08-15"/>
    <m/>
    <x v="1"/>
    <x v="523"/>
    <n v="1"/>
    <x v="0"/>
    <x v="0"/>
    <n v="30"/>
    <n v="2"/>
    <s v="Low"/>
  </r>
  <r>
    <x v="525"/>
    <s v="Rita Sharma"/>
    <x v="4"/>
    <s v="Financial Analyst"/>
    <x v="1"/>
    <n v="26"/>
    <s v="Married"/>
    <s v="2019-04-26"/>
    <m/>
    <x v="1"/>
    <x v="524"/>
    <n v="5"/>
    <x v="1"/>
    <x v="0"/>
    <n v="3"/>
    <n v="7.3"/>
    <s v="Low"/>
  </r>
  <r>
    <x v="526"/>
    <s v="Vikram Bhatt"/>
    <x v="0"/>
    <s v="Content Specialist"/>
    <x v="0"/>
    <n v="43"/>
    <s v="Married"/>
    <s v="2023-04-02"/>
    <m/>
    <x v="1"/>
    <x v="525"/>
    <n v="3"/>
    <x v="0"/>
    <x v="0"/>
    <n v="4"/>
    <n v="3.4"/>
    <s v="Low"/>
  </r>
  <r>
    <x v="527"/>
    <s v="Sunita Joshi"/>
    <x v="3"/>
    <s v="Operations Executive"/>
    <x v="1"/>
    <n v="57"/>
    <s v="Divorced"/>
    <s v="2022-11-27"/>
    <s v="2025-10-01"/>
    <x v="0"/>
    <x v="526"/>
    <n v="2"/>
    <x v="4"/>
    <x v="1"/>
    <n v="22"/>
    <n v="2.8"/>
    <s v="N/A"/>
  </r>
  <r>
    <x v="528"/>
    <s v="Sanjay Reddy"/>
    <x v="0"/>
    <s v="Content Specialist"/>
    <x v="0"/>
    <n v="44"/>
    <s v="Married"/>
    <s v="2025-01-25"/>
    <m/>
    <x v="1"/>
    <x v="527"/>
    <n v="3"/>
    <x v="2"/>
    <x v="1"/>
    <n v="4"/>
    <n v="1.5"/>
    <s v="Medium"/>
  </r>
  <r>
    <x v="529"/>
    <s v="Gaurav Bose"/>
    <x v="4"/>
    <s v="Finance Manager"/>
    <x v="0"/>
    <n v="56"/>
    <s v="Divorced"/>
    <s v="2025-02-01"/>
    <m/>
    <x v="1"/>
    <x v="528"/>
    <n v="3"/>
    <x v="0"/>
    <x v="1"/>
    <n v="44"/>
    <n v="1.5"/>
    <s v="Medium"/>
  </r>
  <r>
    <x v="530"/>
    <s v="Anjali Patel"/>
    <x v="5"/>
    <s v="Sales Executive"/>
    <x v="1"/>
    <n v="47"/>
    <s v="Single"/>
    <s v="2025-01-25"/>
    <m/>
    <x v="1"/>
    <x v="529"/>
    <n v="1"/>
    <x v="3"/>
    <x v="1"/>
    <n v="11"/>
    <n v="1.5"/>
    <s v="High"/>
  </r>
  <r>
    <x v="531"/>
    <s v="Rajesh Sharma"/>
    <x v="4"/>
    <s v="Financial Analyst"/>
    <x v="0"/>
    <n v="40"/>
    <s v="Married"/>
    <s v="2019-09-03"/>
    <m/>
    <x v="1"/>
    <x v="530"/>
    <n v="2"/>
    <x v="0"/>
    <x v="0"/>
    <n v="31"/>
    <n v="6.9"/>
    <s v="Low"/>
  </r>
  <r>
    <x v="532"/>
    <s v="Meena Patel"/>
    <x v="0"/>
    <s v="Marketing Executive"/>
    <x v="1"/>
    <n v="23"/>
    <s v="Married"/>
    <s v="2024-10-10"/>
    <m/>
    <x v="1"/>
    <x v="531"/>
    <n v="3"/>
    <x v="0"/>
    <x v="0"/>
    <n v="27"/>
    <n v="1.8"/>
    <s v="Low"/>
  </r>
  <r>
    <x v="533"/>
    <s v="Rita Nair"/>
    <x v="2"/>
    <s v="HR Manager"/>
    <x v="1"/>
    <n v="58"/>
    <s v="Married"/>
    <s v="2016-06-24"/>
    <m/>
    <x v="1"/>
    <x v="532"/>
    <n v="2"/>
    <x v="1"/>
    <x v="0"/>
    <n v="17"/>
    <n v="10.1"/>
    <s v="Low"/>
  </r>
  <r>
    <x v="534"/>
    <s v="Ajay Nair"/>
    <x v="2"/>
    <s v="HR Executive"/>
    <x v="0"/>
    <n v="51"/>
    <s v="Single"/>
    <s v="2016-11-12"/>
    <m/>
    <x v="1"/>
    <x v="533"/>
    <n v="5"/>
    <x v="4"/>
    <x v="0"/>
    <n v="19"/>
    <n v="9.6999999999999993"/>
    <s v="Medium"/>
  </r>
  <r>
    <x v="535"/>
    <s v="Rohan Mehta"/>
    <x v="0"/>
    <s v="Content Specialist"/>
    <x v="0"/>
    <n v="29"/>
    <s v="Married"/>
    <s v="2015-06-18"/>
    <m/>
    <x v="1"/>
    <x v="534"/>
    <n v="2"/>
    <x v="0"/>
    <x v="0"/>
    <n v="29"/>
    <n v="11.1"/>
    <s v="Low"/>
  </r>
  <r>
    <x v="536"/>
    <s v="Anil Iyer"/>
    <x v="3"/>
    <s v="Logistics Coordinator"/>
    <x v="0"/>
    <n v="31"/>
    <s v="Single"/>
    <s v="2019-03-08"/>
    <m/>
    <x v="1"/>
    <x v="535"/>
    <n v="5"/>
    <x v="4"/>
    <x v="0"/>
    <n v="20"/>
    <n v="7.4"/>
    <s v="Medium"/>
  </r>
  <r>
    <x v="537"/>
    <s v="Rekha Singh"/>
    <x v="4"/>
    <s v="Financial Analyst"/>
    <x v="1"/>
    <n v="22"/>
    <s v="Married"/>
    <s v="2023-04-13"/>
    <m/>
    <x v="1"/>
    <x v="536"/>
    <n v="3"/>
    <x v="0"/>
    <x v="0"/>
    <n v="42"/>
    <n v="3.3"/>
    <s v="Low"/>
  </r>
  <r>
    <x v="538"/>
    <s v="Prakash Kapoor"/>
    <x v="2"/>
    <s v="Recruiter"/>
    <x v="0"/>
    <n v="43"/>
    <s v="Divorced"/>
    <s v="2022-09-23"/>
    <s v="2023-01-11"/>
    <x v="0"/>
    <x v="537"/>
    <n v="1"/>
    <x v="2"/>
    <x v="1"/>
    <n v="9"/>
    <n v="0.3"/>
    <s v="N/A"/>
  </r>
  <r>
    <x v="539"/>
    <s v="Vivek Iyer"/>
    <x v="4"/>
    <s v="Finance Manager"/>
    <x v="0"/>
    <n v="27"/>
    <s v="Married"/>
    <s v="2018-08-29"/>
    <s v="2019-10-05"/>
    <x v="0"/>
    <x v="538"/>
    <n v="5"/>
    <x v="4"/>
    <x v="1"/>
    <n v="34"/>
    <n v="1.1000000000000001"/>
    <s v="N/A"/>
  </r>
  <r>
    <x v="540"/>
    <s v="Rajesh Chopra"/>
    <x v="3"/>
    <s v="Operations Manager"/>
    <x v="0"/>
    <n v="34"/>
    <s v="Divorced"/>
    <s v="2020-07-01"/>
    <m/>
    <x v="1"/>
    <x v="539"/>
    <n v="5"/>
    <x v="0"/>
    <x v="1"/>
    <n v="4"/>
    <n v="6.1"/>
    <s v="Medium"/>
  </r>
  <r>
    <x v="541"/>
    <s v="Sunita Chopra"/>
    <x v="1"/>
    <s v="IT Support"/>
    <x v="1"/>
    <n v="45"/>
    <s v="Divorced"/>
    <s v="2015-02-19"/>
    <s v="2025-04-06"/>
    <x v="0"/>
    <x v="540"/>
    <n v="3"/>
    <x v="1"/>
    <x v="1"/>
    <n v="29"/>
    <n v="10.1"/>
    <s v="N/A"/>
  </r>
  <r>
    <x v="542"/>
    <s v="Anita Joshi"/>
    <x v="0"/>
    <s v="Marketing Manager"/>
    <x v="1"/>
    <n v="49"/>
    <s v="Single"/>
    <s v="2023-03-04"/>
    <s v="2025-12-30"/>
    <x v="0"/>
    <x v="541"/>
    <n v="5"/>
    <x v="4"/>
    <x v="0"/>
    <n v="39"/>
    <n v="2.8"/>
    <s v="N/A"/>
  </r>
  <r>
    <x v="543"/>
    <s v="Prakash Chopra"/>
    <x v="3"/>
    <s v="Operations Manager"/>
    <x v="0"/>
    <n v="27"/>
    <s v="Married"/>
    <s v="2015-01-28"/>
    <m/>
    <x v="1"/>
    <x v="542"/>
    <n v="4"/>
    <x v="1"/>
    <x v="0"/>
    <n v="12"/>
    <n v="11.5"/>
    <s v="Low"/>
  </r>
  <r>
    <x v="544"/>
    <s v="Nikhil Nair"/>
    <x v="1"/>
    <s v="Software Engineer"/>
    <x v="0"/>
    <n v="57"/>
    <s v="Divorced"/>
    <s v="2020-07-02"/>
    <m/>
    <x v="1"/>
    <x v="543"/>
    <n v="5"/>
    <x v="1"/>
    <x v="1"/>
    <n v="20"/>
    <n v="6.1"/>
    <s v="Medium"/>
  </r>
  <r>
    <x v="545"/>
    <s v="Arjun Rao"/>
    <x v="1"/>
    <s v="Software Engineer"/>
    <x v="0"/>
    <n v="41"/>
    <s v="Married"/>
    <s v="2022-03-08"/>
    <m/>
    <x v="1"/>
    <x v="544"/>
    <n v="1"/>
    <x v="2"/>
    <x v="0"/>
    <n v="42"/>
    <n v="4.4000000000000004"/>
    <s v="Low"/>
  </r>
  <r>
    <x v="546"/>
    <s v="Rahul Kumar"/>
    <x v="4"/>
    <s v="Finance Manager"/>
    <x v="0"/>
    <n v="39"/>
    <s v="Married"/>
    <s v="2020-07-12"/>
    <m/>
    <x v="1"/>
    <x v="545"/>
    <n v="5"/>
    <x v="3"/>
    <x v="0"/>
    <n v="24"/>
    <n v="6.1"/>
    <s v="Medium"/>
  </r>
  <r>
    <x v="547"/>
    <s v="Pooja Iyer"/>
    <x v="2"/>
    <s v="Recruiter"/>
    <x v="1"/>
    <n v="54"/>
    <s v="Single"/>
    <s v="2023-03-22"/>
    <m/>
    <x v="1"/>
    <x v="546"/>
    <n v="2"/>
    <x v="1"/>
    <x v="0"/>
    <n v="38"/>
    <n v="3.4"/>
    <s v="Low"/>
  </r>
  <r>
    <x v="548"/>
    <s v="Kavita Verma"/>
    <x v="0"/>
    <s v="Marketing Executive"/>
    <x v="1"/>
    <n v="39"/>
    <s v="Divorced"/>
    <s v="2019-01-19"/>
    <m/>
    <x v="1"/>
    <x v="547"/>
    <n v="1"/>
    <x v="1"/>
    <x v="0"/>
    <n v="19"/>
    <n v="7.6"/>
    <s v="Low"/>
  </r>
  <r>
    <x v="549"/>
    <s v="Rohan Kumar"/>
    <x v="5"/>
    <s v="Account Manager"/>
    <x v="0"/>
    <n v="32"/>
    <s v="Divorced"/>
    <s v="2021-02-05"/>
    <m/>
    <x v="1"/>
    <x v="548"/>
    <n v="3"/>
    <x v="1"/>
    <x v="1"/>
    <n v="18"/>
    <n v="5.5"/>
    <s v="Medium"/>
  </r>
  <r>
    <x v="550"/>
    <s v="Sneha Sharma"/>
    <x v="5"/>
    <s v="Account Manager"/>
    <x v="1"/>
    <n v="30"/>
    <s v="Single"/>
    <s v="2020-10-23"/>
    <s v="2022-09-16"/>
    <x v="0"/>
    <x v="549"/>
    <n v="4"/>
    <x v="2"/>
    <x v="1"/>
    <n v="22"/>
    <n v="1.9"/>
    <s v="N/A"/>
  </r>
  <r>
    <x v="551"/>
    <s v="Sunil Bhatt"/>
    <x v="3"/>
    <s v="Operations Executive"/>
    <x v="0"/>
    <n v="55"/>
    <s v="Single"/>
    <s v="2024-06-27"/>
    <s v="2025-01-07"/>
    <x v="0"/>
    <x v="550"/>
    <n v="1"/>
    <x v="0"/>
    <x v="0"/>
    <n v="27"/>
    <n v="0.5"/>
    <s v="N/A"/>
  </r>
  <r>
    <x v="552"/>
    <s v="Anita Iyer"/>
    <x v="5"/>
    <s v="Sales Manager"/>
    <x v="1"/>
    <n v="30"/>
    <s v="Divorced"/>
    <s v="2024-02-29"/>
    <m/>
    <x v="1"/>
    <x v="551"/>
    <n v="5"/>
    <x v="0"/>
    <x v="0"/>
    <n v="22"/>
    <n v="2.4"/>
    <s v="Low"/>
  </r>
  <r>
    <x v="553"/>
    <s v="Arjun Singh"/>
    <x v="0"/>
    <s v="Marketing Executive"/>
    <x v="0"/>
    <n v="36"/>
    <s v="Single"/>
    <s v="2018-06-13"/>
    <s v="2024-01-16"/>
    <x v="0"/>
    <x v="552"/>
    <n v="1"/>
    <x v="4"/>
    <x v="1"/>
    <n v="28"/>
    <n v="5.6"/>
    <s v="N/A"/>
  </r>
  <r>
    <x v="554"/>
    <s v="Suresh Verma"/>
    <x v="4"/>
    <s v="Financial Analyst"/>
    <x v="0"/>
    <n v="54"/>
    <s v="Married"/>
    <s v="2021-08-26"/>
    <m/>
    <x v="1"/>
    <x v="553"/>
    <n v="3"/>
    <x v="3"/>
    <x v="1"/>
    <n v="3"/>
    <n v="5"/>
    <s v="High"/>
  </r>
  <r>
    <x v="555"/>
    <s v="Prakash Gupta"/>
    <x v="5"/>
    <s v="Sales Executive"/>
    <x v="0"/>
    <n v="33"/>
    <s v="Divorced"/>
    <s v="2022-07-09"/>
    <m/>
    <x v="1"/>
    <x v="554"/>
    <n v="2"/>
    <x v="3"/>
    <x v="0"/>
    <n v="18"/>
    <n v="4.0999999999999996"/>
    <s v="Medium"/>
  </r>
  <r>
    <x v="556"/>
    <s v="Rajesh Chauhan"/>
    <x v="1"/>
    <s v="IT Support"/>
    <x v="0"/>
    <n v="26"/>
    <s v="Single"/>
    <s v="2016-02-10"/>
    <m/>
    <x v="1"/>
    <x v="555"/>
    <n v="5"/>
    <x v="3"/>
    <x v="0"/>
    <n v="14"/>
    <n v="10.5"/>
    <s v="Medium"/>
  </r>
  <r>
    <x v="557"/>
    <s v="Suresh Gupta"/>
    <x v="1"/>
    <s v="IT Support"/>
    <x v="0"/>
    <n v="54"/>
    <s v="Divorced"/>
    <s v="2024-07-18"/>
    <m/>
    <x v="1"/>
    <x v="556"/>
    <n v="5"/>
    <x v="1"/>
    <x v="0"/>
    <n v="12"/>
    <n v="2.1"/>
    <s v="Low"/>
  </r>
  <r>
    <x v="558"/>
    <s v="Nisha Gupta"/>
    <x v="1"/>
    <s v="System Analyst"/>
    <x v="1"/>
    <n v="54"/>
    <s v="Divorced"/>
    <s v="2017-07-21"/>
    <s v="2026-04-07"/>
    <x v="0"/>
    <x v="557"/>
    <n v="1"/>
    <x v="1"/>
    <x v="0"/>
    <n v="30"/>
    <n v="8.6999999999999993"/>
    <s v="N/A"/>
  </r>
  <r>
    <x v="559"/>
    <s v="Ritu Verma"/>
    <x v="2"/>
    <s v="Recruiter"/>
    <x v="1"/>
    <n v="27"/>
    <s v="Divorced"/>
    <s v="2018-09-05"/>
    <m/>
    <x v="1"/>
    <x v="558"/>
    <n v="3"/>
    <x v="2"/>
    <x v="0"/>
    <n v="30"/>
    <n v="7.9"/>
    <s v="Low"/>
  </r>
  <r>
    <x v="560"/>
    <s v="Anita Malhotra"/>
    <x v="4"/>
    <s v="Financial Analyst"/>
    <x v="1"/>
    <n v="34"/>
    <s v="Divorced"/>
    <s v="2024-08-10"/>
    <m/>
    <x v="1"/>
    <x v="559"/>
    <n v="3"/>
    <x v="2"/>
    <x v="1"/>
    <n v="12"/>
    <n v="2"/>
    <s v="Medium"/>
  </r>
  <r>
    <x v="561"/>
    <s v="Payal Patel"/>
    <x v="5"/>
    <s v="Sales Manager"/>
    <x v="1"/>
    <n v="29"/>
    <s v="Married"/>
    <s v="2016-08-10"/>
    <m/>
    <x v="1"/>
    <x v="560"/>
    <n v="1"/>
    <x v="0"/>
    <x v="0"/>
    <n v="11"/>
    <n v="10"/>
    <s v="Low"/>
  </r>
  <r>
    <x v="562"/>
    <s v="Pooja Mehta"/>
    <x v="2"/>
    <s v="HR Executive"/>
    <x v="1"/>
    <n v="49"/>
    <s v="Divorced"/>
    <s v="2023-02-18"/>
    <m/>
    <x v="1"/>
    <x v="561"/>
    <n v="5"/>
    <x v="0"/>
    <x v="0"/>
    <n v="18"/>
    <n v="3.5"/>
    <s v="Low"/>
  </r>
  <r>
    <x v="563"/>
    <s v="Komal Pillai"/>
    <x v="2"/>
    <s v="HR Manager"/>
    <x v="1"/>
    <n v="39"/>
    <s v="Married"/>
    <s v="2016-08-26"/>
    <s v="2018-04-29"/>
    <x v="0"/>
    <x v="562"/>
    <n v="1"/>
    <x v="3"/>
    <x v="0"/>
    <n v="17"/>
    <n v="1.7"/>
    <s v="N/A"/>
  </r>
  <r>
    <x v="564"/>
    <s v="Vikram Das"/>
    <x v="5"/>
    <s v="Sales Executive"/>
    <x v="0"/>
    <n v="23"/>
    <s v="Divorced"/>
    <s v="2017-01-03"/>
    <s v="2018-01-11"/>
    <x v="0"/>
    <x v="563"/>
    <n v="2"/>
    <x v="1"/>
    <x v="0"/>
    <n v="20"/>
    <n v="1"/>
    <s v="N/A"/>
  </r>
  <r>
    <x v="565"/>
    <s v="Rita Gupta"/>
    <x v="0"/>
    <s v="Content Specialist"/>
    <x v="1"/>
    <n v="40"/>
    <s v="Divorced"/>
    <s v="2022-06-04"/>
    <m/>
    <x v="1"/>
    <x v="564"/>
    <n v="3"/>
    <x v="0"/>
    <x v="0"/>
    <n v="35"/>
    <n v="4.2"/>
    <s v="Low"/>
  </r>
  <r>
    <x v="566"/>
    <s v="Nikhil Kapoor"/>
    <x v="5"/>
    <s v="Sales Manager"/>
    <x v="0"/>
    <n v="42"/>
    <s v="Divorced"/>
    <s v="2024-07-25"/>
    <m/>
    <x v="1"/>
    <x v="565"/>
    <n v="1"/>
    <x v="2"/>
    <x v="0"/>
    <n v="3"/>
    <n v="2"/>
    <s v="Low"/>
  </r>
  <r>
    <x v="567"/>
    <s v="Gaurav Malhotra"/>
    <x v="2"/>
    <s v="Recruiter"/>
    <x v="0"/>
    <n v="30"/>
    <s v="Married"/>
    <s v="2018-07-03"/>
    <m/>
    <x v="1"/>
    <x v="566"/>
    <n v="1"/>
    <x v="2"/>
    <x v="0"/>
    <n v="37"/>
    <n v="8.1"/>
    <s v="Low"/>
  </r>
  <r>
    <x v="568"/>
    <s v="Komal Bose"/>
    <x v="0"/>
    <s v="Content Specialist"/>
    <x v="1"/>
    <n v="32"/>
    <s v="Divorced"/>
    <s v="2020-09-06"/>
    <m/>
    <x v="1"/>
    <x v="567"/>
    <n v="4"/>
    <x v="1"/>
    <x v="1"/>
    <n v="38"/>
    <n v="5.9"/>
    <s v="Medium"/>
  </r>
  <r>
    <x v="569"/>
    <s v="Rahul Chauhan"/>
    <x v="2"/>
    <s v="HR Manager"/>
    <x v="0"/>
    <n v="24"/>
    <s v="Divorced"/>
    <s v="2016-06-09"/>
    <m/>
    <x v="1"/>
    <x v="568"/>
    <n v="5"/>
    <x v="1"/>
    <x v="0"/>
    <n v="2"/>
    <n v="10.199999999999999"/>
    <s v="Low"/>
  </r>
  <r>
    <x v="570"/>
    <s v="Sunita Malhotra"/>
    <x v="5"/>
    <s v="Sales Manager"/>
    <x v="1"/>
    <n v="44"/>
    <s v="Divorced"/>
    <s v="2015-08-20"/>
    <s v="2023-07-07"/>
    <x v="0"/>
    <x v="569"/>
    <n v="2"/>
    <x v="4"/>
    <x v="0"/>
    <n v="42"/>
    <n v="7.9"/>
    <s v="N/A"/>
  </r>
  <r>
    <x v="571"/>
    <s v="Anil Joshi"/>
    <x v="5"/>
    <s v="Sales Manager"/>
    <x v="0"/>
    <n v="23"/>
    <s v="Married"/>
    <s v="2021-01-14"/>
    <s v="2025-02-07"/>
    <x v="0"/>
    <x v="570"/>
    <n v="4"/>
    <x v="2"/>
    <x v="1"/>
    <n v="37"/>
    <n v="4.0999999999999996"/>
    <s v="N/A"/>
  </r>
  <r>
    <x v="572"/>
    <s v="Anil Chopra"/>
    <x v="4"/>
    <s v="Finance Manager"/>
    <x v="0"/>
    <n v="58"/>
    <s v="Divorced"/>
    <s v="2019-05-18"/>
    <s v="2025-02-09"/>
    <x v="0"/>
    <x v="571"/>
    <n v="4"/>
    <x v="3"/>
    <x v="1"/>
    <n v="7"/>
    <n v="5.7"/>
    <s v="N/A"/>
  </r>
  <r>
    <x v="573"/>
    <s v="Kavita Bhatt"/>
    <x v="3"/>
    <s v="Logistics Coordinator"/>
    <x v="1"/>
    <n v="41"/>
    <s v="Single"/>
    <s v="2019-01-28"/>
    <m/>
    <x v="1"/>
    <x v="572"/>
    <n v="4"/>
    <x v="4"/>
    <x v="0"/>
    <n v="41"/>
    <n v="7.5"/>
    <s v="Medium"/>
  </r>
  <r>
    <x v="574"/>
    <s v="Shweta Verma"/>
    <x v="3"/>
    <s v="Operations Executive"/>
    <x v="1"/>
    <n v="41"/>
    <s v="Divorced"/>
    <s v="2021-06-07"/>
    <s v="2023-06-26"/>
    <x v="0"/>
    <x v="573"/>
    <n v="5"/>
    <x v="4"/>
    <x v="0"/>
    <n v="6"/>
    <n v="2.1"/>
    <s v="N/A"/>
  </r>
  <r>
    <x v="575"/>
    <s v="Nisha Gupta"/>
    <x v="2"/>
    <s v="HR Executive"/>
    <x v="1"/>
    <n v="44"/>
    <s v="Divorced"/>
    <s v="2023-12-03"/>
    <m/>
    <x v="1"/>
    <x v="574"/>
    <n v="5"/>
    <x v="1"/>
    <x v="1"/>
    <n v="20"/>
    <n v="2.7"/>
    <s v="Medium"/>
  </r>
  <r>
    <x v="576"/>
    <s v="Shweta Bhatt"/>
    <x v="1"/>
    <s v="System Analyst"/>
    <x v="1"/>
    <n v="54"/>
    <s v="Divorced"/>
    <s v="2020-01-31"/>
    <m/>
    <x v="1"/>
    <x v="575"/>
    <n v="2"/>
    <x v="0"/>
    <x v="0"/>
    <n v="2"/>
    <n v="6.5"/>
    <s v="Low"/>
  </r>
  <r>
    <x v="577"/>
    <s v="Meena Kapoor"/>
    <x v="1"/>
    <s v="IT Support"/>
    <x v="1"/>
    <n v="39"/>
    <s v="Divorced"/>
    <s v="2022-02-25"/>
    <s v="2023-06-10"/>
    <x v="0"/>
    <x v="576"/>
    <n v="4"/>
    <x v="0"/>
    <x v="0"/>
    <n v="37"/>
    <n v="1.3"/>
    <s v="N/A"/>
  </r>
  <r>
    <x v="578"/>
    <s v="Sanjay Singh"/>
    <x v="2"/>
    <s v="HR Manager"/>
    <x v="0"/>
    <n v="41"/>
    <s v="Married"/>
    <s v="2024-06-19"/>
    <m/>
    <x v="1"/>
    <x v="577"/>
    <n v="1"/>
    <x v="1"/>
    <x v="0"/>
    <n v="41"/>
    <n v="2.1"/>
    <s v="Low"/>
  </r>
  <r>
    <x v="579"/>
    <s v="Manoj Bhatt"/>
    <x v="2"/>
    <s v="Recruiter"/>
    <x v="0"/>
    <n v="37"/>
    <s v="Married"/>
    <s v="2019-07-21"/>
    <m/>
    <x v="1"/>
    <x v="578"/>
    <n v="2"/>
    <x v="4"/>
    <x v="1"/>
    <n v="2"/>
    <n v="7.1"/>
    <s v="High"/>
  </r>
  <r>
    <x v="580"/>
    <s v="Neha Gupta"/>
    <x v="3"/>
    <s v="Operations Manager"/>
    <x v="1"/>
    <n v="32"/>
    <s v="Single"/>
    <s v="2018-01-22"/>
    <m/>
    <x v="1"/>
    <x v="579"/>
    <n v="3"/>
    <x v="1"/>
    <x v="1"/>
    <n v="43"/>
    <n v="8.5"/>
    <s v="Medium"/>
  </r>
  <r>
    <x v="581"/>
    <s v="Priya Verma"/>
    <x v="5"/>
    <s v="Account Manager"/>
    <x v="1"/>
    <n v="27"/>
    <s v="Divorced"/>
    <s v="2018-07-09"/>
    <m/>
    <x v="1"/>
    <x v="580"/>
    <n v="4"/>
    <x v="3"/>
    <x v="0"/>
    <n v="24"/>
    <n v="8.1"/>
    <s v="Medium"/>
  </r>
  <r>
    <x v="582"/>
    <s v="Sanjay Kumar"/>
    <x v="4"/>
    <s v="Finance Manager"/>
    <x v="0"/>
    <n v="58"/>
    <s v="Divorced"/>
    <s v="2023-03-28"/>
    <m/>
    <x v="1"/>
    <x v="581"/>
    <n v="5"/>
    <x v="3"/>
    <x v="0"/>
    <n v="43"/>
    <n v="3.4"/>
    <s v="Medium"/>
  </r>
  <r>
    <x v="583"/>
    <s v="Anjali Mehta"/>
    <x v="3"/>
    <s v="Operations Manager"/>
    <x v="1"/>
    <n v="29"/>
    <s v="Divorced"/>
    <s v="2023-09-02"/>
    <m/>
    <x v="1"/>
    <x v="582"/>
    <n v="5"/>
    <x v="1"/>
    <x v="0"/>
    <n v="25"/>
    <n v="2.9"/>
    <s v="Low"/>
  </r>
  <r>
    <x v="584"/>
    <s v="Suresh Joshi"/>
    <x v="4"/>
    <s v="Financial Analyst"/>
    <x v="0"/>
    <n v="35"/>
    <s v="Divorced"/>
    <s v="2018-01-29"/>
    <m/>
    <x v="1"/>
    <x v="583"/>
    <n v="5"/>
    <x v="1"/>
    <x v="0"/>
    <n v="4"/>
    <n v="8.5"/>
    <s v="Low"/>
  </r>
  <r>
    <x v="585"/>
    <s v="Komal Mehta"/>
    <x v="5"/>
    <s v="Sales Manager"/>
    <x v="1"/>
    <n v="39"/>
    <s v="Married"/>
    <s v="2024-11-11"/>
    <m/>
    <x v="1"/>
    <x v="584"/>
    <n v="3"/>
    <x v="4"/>
    <x v="0"/>
    <n v="31"/>
    <n v="1.7"/>
    <s v="Medium"/>
  </r>
  <r>
    <x v="586"/>
    <s v="Amit Mehta"/>
    <x v="5"/>
    <s v="Account Manager"/>
    <x v="0"/>
    <n v="38"/>
    <s v="Single"/>
    <s v="2021-03-13"/>
    <m/>
    <x v="1"/>
    <x v="585"/>
    <n v="1"/>
    <x v="1"/>
    <x v="0"/>
    <n v="35"/>
    <n v="5.4"/>
    <s v="Low"/>
  </r>
  <r>
    <x v="587"/>
    <s v="Shweta Nair"/>
    <x v="4"/>
    <s v="Financial Analyst"/>
    <x v="1"/>
    <n v="27"/>
    <s v="Married"/>
    <s v="2024-03-23"/>
    <m/>
    <x v="1"/>
    <x v="586"/>
    <n v="2"/>
    <x v="1"/>
    <x v="0"/>
    <n v="11"/>
    <n v="2.4"/>
    <s v="Low"/>
  </r>
  <r>
    <x v="588"/>
    <s v="Manoj Patel"/>
    <x v="0"/>
    <s v="Marketing Manager"/>
    <x v="0"/>
    <n v="53"/>
    <s v="Single"/>
    <s v="2020-04-13"/>
    <m/>
    <x v="1"/>
    <x v="587"/>
    <n v="4"/>
    <x v="1"/>
    <x v="0"/>
    <n v="7"/>
    <n v="6.3"/>
    <s v="Low"/>
  </r>
  <r>
    <x v="589"/>
    <s v="Nisha Bhatt"/>
    <x v="3"/>
    <s v="Operations Executive"/>
    <x v="1"/>
    <n v="57"/>
    <s v="Single"/>
    <s v="2023-04-10"/>
    <m/>
    <x v="1"/>
    <x v="588"/>
    <n v="1"/>
    <x v="3"/>
    <x v="1"/>
    <n v="42"/>
    <n v="3.3"/>
    <s v="High"/>
  </r>
  <r>
    <x v="590"/>
    <s v="Nikhil Gupta"/>
    <x v="0"/>
    <s v="Marketing Executive"/>
    <x v="0"/>
    <n v="41"/>
    <s v="Divorced"/>
    <s v="2018-07-09"/>
    <m/>
    <x v="1"/>
    <x v="589"/>
    <n v="2"/>
    <x v="3"/>
    <x v="0"/>
    <n v="16"/>
    <n v="8.1"/>
    <s v="Medium"/>
  </r>
  <r>
    <x v="591"/>
    <s v="Rekha Kapoor"/>
    <x v="0"/>
    <s v="Marketing Executive"/>
    <x v="1"/>
    <n v="52"/>
    <s v="Married"/>
    <s v="2024-10-17"/>
    <m/>
    <x v="1"/>
    <x v="590"/>
    <n v="2"/>
    <x v="1"/>
    <x v="0"/>
    <n v="44"/>
    <n v="1.8"/>
    <s v="Low"/>
  </r>
  <r>
    <x v="592"/>
    <s v="Sunita Joshi"/>
    <x v="1"/>
    <s v="Software Engineer"/>
    <x v="1"/>
    <n v="47"/>
    <s v="Single"/>
    <s v="2024-10-29"/>
    <m/>
    <x v="1"/>
    <x v="591"/>
    <n v="2"/>
    <x v="0"/>
    <x v="0"/>
    <n v="2"/>
    <n v="1.8"/>
    <s v="Low"/>
  </r>
  <r>
    <x v="593"/>
    <s v="Vikram Kapoor"/>
    <x v="0"/>
    <s v="Content Specialist"/>
    <x v="0"/>
    <n v="34"/>
    <s v="Married"/>
    <s v="2017-12-08"/>
    <m/>
    <x v="1"/>
    <x v="592"/>
    <n v="1"/>
    <x v="4"/>
    <x v="0"/>
    <n v="26"/>
    <n v="8.6999999999999993"/>
    <s v="Medium"/>
  </r>
  <r>
    <x v="594"/>
    <s v="Kavita Chauhan"/>
    <x v="1"/>
    <s v="Software Engineer"/>
    <x v="1"/>
    <n v="29"/>
    <s v="Single"/>
    <s v="2015-02-27"/>
    <m/>
    <x v="1"/>
    <x v="593"/>
    <n v="4"/>
    <x v="2"/>
    <x v="0"/>
    <n v="44"/>
    <n v="11.4"/>
    <s v="Low"/>
  </r>
  <r>
    <x v="595"/>
    <s v="Anita Das"/>
    <x v="1"/>
    <s v="Software Engineer"/>
    <x v="1"/>
    <n v="46"/>
    <s v="Married"/>
    <s v="2016-06-17"/>
    <m/>
    <x v="1"/>
    <x v="594"/>
    <n v="5"/>
    <x v="4"/>
    <x v="0"/>
    <n v="14"/>
    <n v="10.1"/>
    <s v="Medium"/>
  </r>
  <r>
    <x v="596"/>
    <s v="Ravi Singh"/>
    <x v="1"/>
    <s v="System Analyst"/>
    <x v="0"/>
    <n v="23"/>
    <s v="Single"/>
    <s v="2018-04-03"/>
    <m/>
    <x v="1"/>
    <x v="595"/>
    <n v="5"/>
    <x v="4"/>
    <x v="0"/>
    <n v="29"/>
    <n v="8.4"/>
    <s v="Medium"/>
  </r>
  <r>
    <x v="597"/>
    <s v="Anjali Sharma"/>
    <x v="0"/>
    <s v="Content Specialist"/>
    <x v="1"/>
    <n v="52"/>
    <s v="Married"/>
    <s v="2016-06-29"/>
    <m/>
    <x v="1"/>
    <x v="596"/>
    <n v="2"/>
    <x v="2"/>
    <x v="0"/>
    <n v="25"/>
    <n v="10.1"/>
    <s v="Low"/>
  </r>
  <r>
    <x v="598"/>
    <s v="Sunil Verma"/>
    <x v="2"/>
    <s v="HR Executive"/>
    <x v="0"/>
    <n v="25"/>
    <s v="Divorced"/>
    <s v="2018-09-25"/>
    <m/>
    <x v="1"/>
    <x v="597"/>
    <n v="3"/>
    <x v="2"/>
    <x v="0"/>
    <n v="39"/>
    <n v="7.9"/>
    <s v="Low"/>
  </r>
  <r>
    <x v="599"/>
    <s v="Rahul Rao"/>
    <x v="3"/>
    <s v="Logistics Coordinator"/>
    <x v="0"/>
    <n v="54"/>
    <s v="Divorced"/>
    <s v="2021-12-13"/>
    <s v="2023-02-13"/>
    <x v="0"/>
    <x v="598"/>
    <n v="3"/>
    <x v="2"/>
    <x v="0"/>
    <n v="9"/>
    <n v="1.2"/>
    <s v="N/A"/>
  </r>
  <r>
    <x v="600"/>
    <s v="Rekha Kapoor"/>
    <x v="2"/>
    <s v="HR Executive"/>
    <x v="1"/>
    <n v="30"/>
    <s v="Single"/>
    <s v="2016-01-03"/>
    <m/>
    <x v="1"/>
    <x v="599"/>
    <n v="4"/>
    <x v="0"/>
    <x v="1"/>
    <n v="10"/>
    <n v="10.6"/>
    <s v="Medium"/>
  </r>
  <r>
    <x v="601"/>
    <s v="Sunita Malhotra"/>
    <x v="1"/>
    <s v="System Analyst"/>
    <x v="1"/>
    <n v="40"/>
    <s v="Married"/>
    <s v="2025-02-14"/>
    <m/>
    <x v="1"/>
    <x v="600"/>
    <n v="3"/>
    <x v="0"/>
    <x v="0"/>
    <n v="34"/>
    <n v="1.5"/>
    <s v="Low"/>
  </r>
  <r>
    <x v="602"/>
    <s v="Sneha Bose"/>
    <x v="2"/>
    <s v="Recruiter"/>
    <x v="1"/>
    <n v="50"/>
    <s v="Married"/>
    <s v="2015-08-06"/>
    <s v="2023-09-04"/>
    <x v="0"/>
    <x v="601"/>
    <n v="2"/>
    <x v="3"/>
    <x v="1"/>
    <n v="12"/>
    <n v="8.1"/>
    <s v="N/A"/>
  </r>
  <r>
    <x v="603"/>
    <s v="Gaurav Verma"/>
    <x v="4"/>
    <s v="Accountant"/>
    <x v="0"/>
    <n v="50"/>
    <s v="Single"/>
    <s v="2018-12-31"/>
    <m/>
    <x v="1"/>
    <x v="602"/>
    <n v="4"/>
    <x v="0"/>
    <x v="0"/>
    <n v="30"/>
    <n v="7.6"/>
    <s v="Low"/>
  </r>
  <r>
    <x v="604"/>
    <s v="Anjali Gupta"/>
    <x v="1"/>
    <s v="Software Engineer"/>
    <x v="1"/>
    <n v="40"/>
    <s v="Divorced"/>
    <s v="2017-01-09"/>
    <m/>
    <x v="1"/>
    <x v="603"/>
    <n v="3"/>
    <x v="0"/>
    <x v="0"/>
    <n v="37"/>
    <n v="9.6"/>
    <s v="Low"/>
  </r>
  <r>
    <x v="605"/>
    <s v="Ravi Patel"/>
    <x v="3"/>
    <s v="Operations Executive"/>
    <x v="0"/>
    <n v="37"/>
    <s v="Divorced"/>
    <s v="2023-08-13"/>
    <m/>
    <x v="1"/>
    <x v="604"/>
    <n v="3"/>
    <x v="3"/>
    <x v="0"/>
    <n v="2"/>
    <n v="3"/>
    <s v="Medium"/>
  </r>
  <r>
    <x v="606"/>
    <s v="Seema Kumar"/>
    <x v="5"/>
    <s v="Sales Manager"/>
    <x v="1"/>
    <n v="42"/>
    <s v="Married"/>
    <s v="2016-09-21"/>
    <m/>
    <x v="1"/>
    <x v="605"/>
    <n v="4"/>
    <x v="2"/>
    <x v="1"/>
    <n v="30"/>
    <n v="9.9"/>
    <s v="Medium"/>
  </r>
  <r>
    <x v="607"/>
    <s v="Ashok Kapoor"/>
    <x v="5"/>
    <s v="Sales Manager"/>
    <x v="0"/>
    <n v="42"/>
    <s v="Single"/>
    <s v="2023-03-16"/>
    <m/>
    <x v="1"/>
    <x v="606"/>
    <n v="2"/>
    <x v="0"/>
    <x v="0"/>
    <n v="14"/>
    <n v="3.4"/>
    <s v="Low"/>
  </r>
  <r>
    <x v="608"/>
    <s v="Vikram Bose"/>
    <x v="2"/>
    <s v="HR Manager"/>
    <x v="0"/>
    <n v="46"/>
    <s v="Single"/>
    <s v="2016-01-15"/>
    <m/>
    <x v="1"/>
    <x v="607"/>
    <n v="2"/>
    <x v="4"/>
    <x v="0"/>
    <n v="26"/>
    <n v="10.6"/>
    <s v="Medium"/>
  </r>
  <r>
    <x v="609"/>
    <s v="Anita Singh"/>
    <x v="1"/>
    <s v="System Analyst"/>
    <x v="1"/>
    <n v="29"/>
    <s v="Single"/>
    <s v="2018-05-07"/>
    <m/>
    <x v="1"/>
    <x v="608"/>
    <n v="3"/>
    <x v="2"/>
    <x v="0"/>
    <n v="44"/>
    <n v="8.3000000000000007"/>
    <s v="Low"/>
  </r>
  <r>
    <x v="610"/>
    <s v="Gaurav Kapoor"/>
    <x v="5"/>
    <s v="Sales Manager"/>
    <x v="0"/>
    <n v="46"/>
    <s v="Married"/>
    <s v="2020-05-05"/>
    <m/>
    <x v="1"/>
    <x v="609"/>
    <n v="4"/>
    <x v="0"/>
    <x v="1"/>
    <n v="6"/>
    <n v="6.3"/>
    <s v="Medium"/>
  </r>
  <r>
    <x v="611"/>
    <s v="Nisha Patel"/>
    <x v="3"/>
    <s v="Operations Executive"/>
    <x v="1"/>
    <n v="24"/>
    <s v="Divorced"/>
    <s v="2020-10-03"/>
    <s v="2026-06-22"/>
    <x v="0"/>
    <x v="610"/>
    <n v="2"/>
    <x v="2"/>
    <x v="1"/>
    <n v="42"/>
    <n v="5.7"/>
    <s v="N/A"/>
  </r>
  <r>
    <x v="612"/>
    <s v="Deepak Kapoor"/>
    <x v="3"/>
    <s v="Logistics Coordinator"/>
    <x v="0"/>
    <n v="49"/>
    <s v="Divorced"/>
    <s v="2015-11-21"/>
    <m/>
    <x v="1"/>
    <x v="611"/>
    <n v="3"/>
    <x v="2"/>
    <x v="0"/>
    <n v="10"/>
    <n v="10.7"/>
    <s v="Low"/>
  </r>
  <r>
    <x v="613"/>
    <s v="Anita Chauhan"/>
    <x v="1"/>
    <s v="IT Support"/>
    <x v="1"/>
    <n v="25"/>
    <s v="Married"/>
    <s v="2021-03-06"/>
    <s v="2023-12-12"/>
    <x v="0"/>
    <x v="612"/>
    <n v="5"/>
    <x v="3"/>
    <x v="1"/>
    <n v="7"/>
    <n v="2.8"/>
    <s v="N/A"/>
  </r>
  <r>
    <x v="614"/>
    <s v="Sunita Rao"/>
    <x v="0"/>
    <s v="Content Specialist"/>
    <x v="1"/>
    <n v="27"/>
    <s v="Single"/>
    <s v="2023-08-15"/>
    <m/>
    <x v="1"/>
    <x v="613"/>
    <n v="4"/>
    <x v="3"/>
    <x v="0"/>
    <n v="12"/>
    <n v="3"/>
    <s v="Medium"/>
  </r>
  <r>
    <x v="615"/>
    <s v="Anita Reddy"/>
    <x v="5"/>
    <s v="Sales Executive"/>
    <x v="1"/>
    <n v="51"/>
    <s v="Single"/>
    <s v="2023-06-30"/>
    <m/>
    <x v="1"/>
    <x v="614"/>
    <n v="3"/>
    <x v="0"/>
    <x v="0"/>
    <n v="22"/>
    <n v="3.1"/>
    <s v="Low"/>
  </r>
  <r>
    <x v="616"/>
    <s v="Pooja Malhotra"/>
    <x v="5"/>
    <s v="Account Manager"/>
    <x v="1"/>
    <n v="56"/>
    <s v="Married"/>
    <s v="2015-03-15"/>
    <m/>
    <x v="1"/>
    <x v="615"/>
    <n v="1"/>
    <x v="3"/>
    <x v="1"/>
    <n v="11"/>
    <n v="11.4"/>
    <s v="High"/>
  </r>
  <r>
    <x v="617"/>
    <s v="Anita Bhatt"/>
    <x v="4"/>
    <s v="Finance Manager"/>
    <x v="1"/>
    <n v="45"/>
    <s v="Single"/>
    <s v="2022-09-29"/>
    <s v="2023-07-15"/>
    <x v="0"/>
    <x v="616"/>
    <n v="3"/>
    <x v="2"/>
    <x v="0"/>
    <n v="6"/>
    <n v="0.8"/>
    <s v="N/A"/>
  </r>
  <r>
    <x v="618"/>
    <s v="Rahul Gupta"/>
    <x v="5"/>
    <s v="Account Manager"/>
    <x v="0"/>
    <n v="52"/>
    <s v="Divorced"/>
    <s v="2022-04-10"/>
    <s v="2024-02-15"/>
    <x v="0"/>
    <x v="617"/>
    <n v="4"/>
    <x v="4"/>
    <x v="1"/>
    <n v="41"/>
    <n v="1.9"/>
    <s v="N/A"/>
  </r>
  <r>
    <x v="619"/>
    <s v="Nisha Sharma"/>
    <x v="4"/>
    <s v="Financial Analyst"/>
    <x v="1"/>
    <n v="29"/>
    <s v="Married"/>
    <s v="2016-11-11"/>
    <m/>
    <x v="1"/>
    <x v="618"/>
    <n v="4"/>
    <x v="2"/>
    <x v="0"/>
    <n v="31"/>
    <n v="9.6999999999999993"/>
    <s v="Low"/>
  </r>
  <r>
    <x v="620"/>
    <s v="Neha Reddy"/>
    <x v="1"/>
    <s v="System Analyst"/>
    <x v="1"/>
    <n v="22"/>
    <s v="Divorced"/>
    <s v="2016-02-25"/>
    <m/>
    <x v="1"/>
    <x v="619"/>
    <n v="4"/>
    <x v="2"/>
    <x v="0"/>
    <n v="32"/>
    <n v="10.5"/>
    <s v="Low"/>
  </r>
  <r>
    <x v="621"/>
    <s v="Gaurav Chopra"/>
    <x v="3"/>
    <s v="Operations Manager"/>
    <x v="0"/>
    <n v="53"/>
    <s v="Single"/>
    <s v="2020-10-03"/>
    <m/>
    <x v="1"/>
    <x v="620"/>
    <n v="4"/>
    <x v="0"/>
    <x v="0"/>
    <n v="15"/>
    <n v="5.8"/>
    <s v="Low"/>
  </r>
  <r>
    <x v="622"/>
    <s v="Ritu Patel"/>
    <x v="4"/>
    <s v="Finance Manager"/>
    <x v="1"/>
    <n v="39"/>
    <s v="Divorced"/>
    <s v="2025-01-05"/>
    <m/>
    <x v="1"/>
    <x v="621"/>
    <n v="1"/>
    <x v="2"/>
    <x v="0"/>
    <n v="32"/>
    <n v="1.6"/>
    <s v="Low"/>
  </r>
  <r>
    <x v="623"/>
    <s v="Rohan Nair"/>
    <x v="0"/>
    <s v="Marketing Manager"/>
    <x v="0"/>
    <n v="34"/>
    <s v="Divorced"/>
    <s v="2020-04-06"/>
    <s v="2025-09-05"/>
    <x v="0"/>
    <x v="622"/>
    <n v="5"/>
    <x v="4"/>
    <x v="1"/>
    <n v="15"/>
    <n v="5.4"/>
    <s v="N/A"/>
  </r>
  <r>
    <x v="624"/>
    <s v="Nisha Iyer"/>
    <x v="1"/>
    <s v="System Analyst"/>
    <x v="1"/>
    <n v="52"/>
    <s v="Divorced"/>
    <s v="2023-12-20"/>
    <m/>
    <x v="1"/>
    <x v="623"/>
    <n v="5"/>
    <x v="4"/>
    <x v="0"/>
    <n v="14"/>
    <n v="2.6"/>
    <s v="Medium"/>
  </r>
  <r>
    <x v="625"/>
    <s v="Rohan Gupta"/>
    <x v="0"/>
    <s v="Marketing Manager"/>
    <x v="0"/>
    <n v="32"/>
    <s v="Single"/>
    <s v="2021-10-17"/>
    <m/>
    <x v="1"/>
    <x v="624"/>
    <n v="4"/>
    <x v="2"/>
    <x v="0"/>
    <n v="20"/>
    <n v="4.8"/>
    <s v="Low"/>
  </r>
  <r>
    <x v="626"/>
    <s v="Sunita Joshi"/>
    <x v="5"/>
    <s v="Sales Manager"/>
    <x v="1"/>
    <n v="33"/>
    <s v="Married"/>
    <s v="2024-04-14"/>
    <s v="2025-01-31"/>
    <x v="0"/>
    <x v="625"/>
    <n v="1"/>
    <x v="0"/>
    <x v="0"/>
    <n v="5"/>
    <n v="0.8"/>
    <s v="N/A"/>
  </r>
  <r>
    <x v="627"/>
    <s v="Gaurav Rao"/>
    <x v="5"/>
    <s v="Account Manager"/>
    <x v="0"/>
    <n v="43"/>
    <s v="Single"/>
    <s v="2023-10-20"/>
    <m/>
    <x v="1"/>
    <x v="626"/>
    <n v="5"/>
    <x v="3"/>
    <x v="0"/>
    <n v="18"/>
    <n v="2.8"/>
    <s v="Medium"/>
  </r>
  <r>
    <x v="628"/>
    <s v="Amit Kapoor"/>
    <x v="3"/>
    <s v="Logistics Coordinator"/>
    <x v="0"/>
    <n v="51"/>
    <s v="Single"/>
    <s v="2024-06-09"/>
    <m/>
    <x v="1"/>
    <x v="627"/>
    <n v="5"/>
    <x v="3"/>
    <x v="0"/>
    <n v="40"/>
    <n v="2.2000000000000002"/>
    <s v="Medium"/>
  </r>
  <r>
    <x v="629"/>
    <s v="Rohan Kumar"/>
    <x v="5"/>
    <s v="Account Manager"/>
    <x v="0"/>
    <n v="35"/>
    <s v="Divorced"/>
    <s v="2025-03-20"/>
    <m/>
    <x v="1"/>
    <x v="628"/>
    <n v="4"/>
    <x v="1"/>
    <x v="0"/>
    <n v="33"/>
    <n v="1.4"/>
    <s v="Low"/>
  </r>
  <r>
    <x v="630"/>
    <s v="Rekha Singh"/>
    <x v="1"/>
    <s v="IT Support"/>
    <x v="1"/>
    <n v="29"/>
    <s v="Married"/>
    <s v="2024-07-07"/>
    <m/>
    <x v="1"/>
    <x v="629"/>
    <n v="1"/>
    <x v="2"/>
    <x v="1"/>
    <n v="16"/>
    <n v="2.1"/>
    <s v="Medium"/>
  </r>
  <r>
    <x v="631"/>
    <s v="Manoj Iyer"/>
    <x v="3"/>
    <s v="Operations Executive"/>
    <x v="0"/>
    <n v="48"/>
    <s v="Single"/>
    <s v="2019-01-17"/>
    <s v="2024-01-07"/>
    <x v="0"/>
    <x v="630"/>
    <n v="2"/>
    <x v="4"/>
    <x v="0"/>
    <n v="34"/>
    <n v="5"/>
    <s v="N/A"/>
  </r>
  <r>
    <x v="632"/>
    <s v="Payal Iyer"/>
    <x v="4"/>
    <s v="Accountant"/>
    <x v="1"/>
    <n v="23"/>
    <s v="Married"/>
    <s v="2019-12-18"/>
    <s v="2021-12-20"/>
    <x v="0"/>
    <x v="631"/>
    <n v="5"/>
    <x v="3"/>
    <x v="1"/>
    <n v="5"/>
    <n v="2"/>
    <s v="N/A"/>
  </r>
  <r>
    <x v="633"/>
    <s v="Neha Singh"/>
    <x v="4"/>
    <s v="Financial Analyst"/>
    <x v="1"/>
    <n v="58"/>
    <s v="Divorced"/>
    <s v="2015-08-25"/>
    <m/>
    <x v="1"/>
    <x v="632"/>
    <n v="3"/>
    <x v="0"/>
    <x v="0"/>
    <n v="27"/>
    <n v="11"/>
    <s v="Low"/>
  </r>
  <r>
    <x v="634"/>
    <s v="Sunita Sharma"/>
    <x v="2"/>
    <s v="Recruiter"/>
    <x v="1"/>
    <n v="39"/>
    <s v="Single"/>
    <s v="2025-02-04"/>
    <m/>
    <x v="1"/>
    <x v="633"/>
    <n v="4"/>
    <x v="4"/>
    <x v="0"/>
    <n v="29"/>
    <n v="1.5"/>
    <s v="Medium"/>
  </r>
  <r>
    <x v="635"/>
    <s v="Sunita Chopra"/>
    <x v="3"/>
    <s v="Logistics Coordinator"/>
    <x v="1"/>
    <n v="34"/>
    <s v="Divorced"/>
    <s v="2024-11-17"/>
    <m/>
    <x v="1"/>
    <x v="634"/>
    <n v="5"/>
    <x v="3"/>
    <x v="1"/>
    <n v="22"/>
    <n v="1.7"/>
    <s v="High"/>
  </r>
  <r>
    <x v="636"/>
    <s v="Meena Patel"/>
    <x v="1"/>
    <s v="IT Support"/>
    <x v="1"/>
    <n v="54"/>
    <s v="Divorced"/>
    <s v="2021-03-10"/>
    <m/>
    <x v="1"/>
    <x v="635"/>
    <n v="2"/>
    <x v="1"/>
    <x v="1"/>
    <n v="2"/>
    <n v="5.4"/>
    <s v="Medium"/>
  </r>
  <r>
    <x v="637"/>
    <s v="Payal Kumar"/>
    <x v="1"/>
    <s v="System Analyst"/>
    <x v="1"/>
    <n v="25"/>
    <s v="Divorced"/>
    <s v="2024-06-09"/>
    <m/>
    <x v="1"/>
    <x v="636"/>
    <n v="3"/>
    <x v="0"/>
    <x v="0"/>
    <n v="8"/>
    <n v="2.2000000000000002"/>
    <s v="Low"/>
  </r>
  <r>
    <x v="638"/>
    <s v="Vivek Reddy"/>
    <x v="4"/>
    <s v="Accountant"/>
    <x v="0"/>
    <n v="37"/>
    <s v="Divorced"/>
    <s v="2024-01-12"/>
    <m/>
    <x v="1"/>
    <x v="637"/>
    <n v="5"/>
    <x v="0"/>
    <x v="0"/>
    <n v="41"/>
    <n v="2.6"/>
    <s v="Low"/>
  </r>
  <r>
    <x v="639"/>
    <s v="Anita Chauhan"/>
    <x v="1"/>
    <s v="System Analyst"/>
    <x v="1"/>
    <n v="30"/>
    <s v="Divorced"/>
    <s v="2023-01-04"/>
    <s v="2025-03-13"/>
    <x v="0"/>
    <x v="638"/>
    <n v="1"/>
    <x v="4"/>
    <x v="0"/>
    <n v="21"/>
    <n v="2.2000000000000002"/>
    <s v="N/A"/>
  </r>
  <r>
    <x v="640"/>
    <s v="Ravi Malhotra"/>
    <x v="4"/>
    <s v="Financial Analyst"/>
    <x v="0"/>
    <n v="27"/>
    <s v="Single"/>
    <s v="2016-01-13"/>
    <s v="2022-02-05"/>
    <x v="0"/>
    <x v="639"/>
    <n v="4"/>
    <x v="4"/>
    <x v="1"/>
    <n v="14"/>
    <n v="6.1"/>
    <s v="N/A"/>
  </r>
  <r>
    <x v="641"/>
    <s v="Shweta Chauhan"/>
    <x v="4"/>
    <s v="Finance Manager"/>
    <x v="1"/>
    <n v="53"/>
    <s v="Single"/>
    <s v="2022-02-19"/>
    <s v="2023-01-05"/>
    <x v="0"/>
    <x v="640"/>
    <n v="4"/>
    <x v="2"/>
    <x v="0"/>
    <n v="27"/>
    <n v="0.9"/>
    <s v="N/A"/>
  </r>
  <r>
    <x v="642"/>
    <s v="Sneha Pillai"/>
    <x v="4"/>
    <s v="Finance Manager"/>
    <x v="1"/>
    <n v="55"/>
    <s v="Single"/>
    <s v="2016-04-28"/>
    <m/>
    <x v="1"/>
    <x v="641"/>
    <n v="4"/>
    <x v="2"/>
    <x v="0"/>
    <n v="3"/>
    <n v="10.3"/>
    <s v="Low"/>
  </r>
  <r>
    <x v="643"/>
    <s v="Pooja Kumar"/>
    <x v="2"/>
    <s v="HR Executive"/>
    <x v="1"/>
    <n v="45"/>
    <s v="Married"/>
    <s v="2021-05-30"/>
    <m/>
    <x v="1"/>
    <x v="642"/>
    <n v="2"/>
    <x v="0"/>
    <x v="1"/>
    <n v="8"/>
    <n v="5.2"/>
    <s v="Medium"/>
  </r>
  <r>
    <x v="644"/>
    <s v="Priya Singh"/>
    <x v="2"/>
    <s v="HR Manager"/>
    <x v="1"/>
    <n v="31"/>
    <s v="Single"/>
    <s v="2023-10-16"/>
    <m/>
    <x v="1"/>
    <x v="643"/>
    <n v="3"/>
    <x v="3"/>
    <x v="0"/>
    <n v="19"/>
    <n v="2.8"/>
    <s v="Medium"/>
  </r>
  <r>
    <x v="645"/>
    <s v="Sunil Iyer"/>
    <x v="4"/>
    <s v="Financial Analyst"/>
    <x v="0"/>
    <n v="26"/>
    <s v="Married"/>
    <s v="2024-10-05"/>
    <m/>
    <x v="1"/>
    <x v="644"/>
    <n v="5"/>
    <x v="2"/>
    <x v="1"/>
    <n v="20"/>
    <n v="1.8"/>
    <s v="Medium"/>
  </r>
  <r>
    <x v="646"/>
    <s v="Arjun Pillai"/>
    <x v="4"/>
    <s v="Accountant"/>
    <x v="0"/>
    <n v="51"/>
    <s v="Divorced"/>
    <s v="2023-07-17"/>
    <m/>
    <x v="1"/>
    <x v="645"/>
    <n v="2"/>
    <x v="2"/>
    <x v="0"/>
    <n v="21"/>
    <n v="3.1"/>
    <s v="Low"/>
  </r>
  <r>
    <x v="647"/>
    <s v="Nikhil Reddy"/>
    <x v="4"/>
    <s v="Accountant"/>
    <x v="0"/>
    <n v="56"/>
    <s v="Single"/>
    <s v="2015-07-07"/>
    <m/>
    <x v="1"/>
    <x v="646"/>
    <n v="3"/>
    <x v="2"/>
    <x v="0"/>
    <n v="42"/>
    <n v="11.1"/>
    <s v="Low"/>
  </r>
  <r>
    <x v="648"/>
    <s v="Ritu Kumar"/>
    <x v="3"/>
    <s v="Logistics Coordinator"/>
    <x v="1"/>
    <n v="57"/>
    <s v="Single"/>
    <s v="2015-12-15"/>
    <m/>
    <x v="1"/>
    <x v="647"/>
    <n v="5"/>
    <x v="0"/>
    <x v="1"/>
    <n v="37"/>
    <n v="10.7"/>
    <s v="Medium"/>
  </r>
  <r>
    <x v="649"/>
    <s v="Payal Sharma"/>
    <x v="3"/>
    <s v="Operations Executive"/>
    <x v="1"/>
    <n v="29"/>
    <s v="Single"/>
    <s v="2022-05-20"/>
    <s v="2026-07-03"/>
    <x v="0"/>
    <x v="648"/>
    <n v="1"/>
    <x v="4"/>
    <x v="0"/>
    <n v="18"/>
    <n v="4.0999999999999996"/>
    <s v="N/A"/>
  </r>
  <r>
    <x v="650"/>
    <s v="Sunil Bhatt"/>
    <x v="3"/>
    <s v="Operations Manager"/>
    <x v="0"/>
    <n v="42"/>
    <s v="Single"/>
    <s v="2019-07-04"/>
    <m/>
    <x v="1"/>
    <x v="649"/>
    <n v="1"/>
    <x v="2"/>
    <x v="0"/>
    <n v="22"/>
    <n v="7.1"/>
    <s v="Low"/>
  </r>
  <r>
    <x v="651"/>
    <s v="Shweta Patel"/>
    <x v="3"/>
    <s v="Operations Manager"/>
    <x v="1"/>
    <n v="29"/>
    <s v="Single"/>
    <s v="2016-02-11"/>
    <s v="2020-11-04"/>
    <x v="0"/>
    <x v="650"/>
    <n v="2"/>
    <x v="1"/>
    <x v="0"/>
    <n v="12"/>
    <n v="4.7"/>
    <s v="N/A"/>
  </r>
  <r>
    <x v="652"/>
    <s v="Ashok Reddy"/>
    <x v="0"/>
    <s v="Marketing Executive"/>
    <x v="0"/>
    <n v="33"/>
    <s v="Single"/>
    <s v="2015-04-22"/>
    <m/>
    <x v="1"/>
    <x v="651"/>
    <n v="4"/>
    <x v="1"/>
    <x v="0"/>
    <n v="7"/>
    <n v="11.3"/>
    <s v="Low"/>
  </r>
  <r>
    <x v="653"/>
    <s v="Pooja Verma"/>
    <x v="2"/>
    <s v="HR Manager"/>
    <x v="1"/>
    <n v="34"/>
    <s v="Divorced"/>
    <s v="2017-09-08"/>
    <m/>
    <x v="1"/>
    <x v="652"/>
    <n v="2"/>
    <x v="0"/>
    <x v="0"/>
    <n v="32"/>
    <n v="8.9"/>
    <s v="Low"/>
  </r>
  <r>
    <x v="654"/>
    <s v="Anil Kapoor"/>
    <x v="5"/>
    <s v="Sales Manager"/>
    <x v="0"/>
    <n v="57"/>
    <s v="Single"/>
    <s v="2019-07-26"/>
    <s v="2026-04-20"/>
    <x v="0"/>
    <x v="653"/>
    <n v="4"/>
    <x v="3"/>
    <x v="1"/>
    <n v="41"/>
    <n v="6.7"/>
    <s v="N/A"/>
  </r>
  <r>
    <x v="655"/>
    <s v="Sunil Singh"/>
    <x v="0"/>
    <s v="Marketing Executive"/>
    <x v="0"/>
    <n v="41"/>
    <s v="Single"/>
    <s v="2021-05-16"/>
    <m/>
    <x v="1"/>
    <x v="654"/>
    <n v="5"/>
    <x v="3"/>
    <x v="0"/>
    <n v="14"/>
    <n v="5.2"/>
    <s v="Medium"/>
  </r>
  <r>
    <x v="656"/>
    <s v="Ritu Kapoor"/>
    <x v="1"/>
    <s v="Software Engineer"/>
    <x v="1"/>
    <n v="24"/>
    <s v="Single"/>
    <s v="2015-01-05"/>
    <s v="2025-12-28"/>
    <x v="0"/>
    <x v="655"/>
    <n v="3"/>
    <x v="0"/>
    <x v="0"/>
    <n v="42"/>
    <n v="11"/>
    <s v="N/A"/>
  </r>
  <r>
    <x v="657"/>
    <s v="Swati Iyer"/>
    <x v="2"/>
    <s v="Recruiter"/>
    <x v="1"/>
    <n v="35"/>
    <s v="Divorced"/>
    <s v="2021-07-24"/>
    <m/>
    <x v="1"/>
    <x v="656"/>
    <n v="1"/>
    <x v="1"/>
    <x v="0"/>
    <n v="11"/>
    <n v="5"/>
    <s v="Low"/>
  </r>
  <r>
    <x v="658"/>
    <s v="Pooja Singh"/>
    <x v="2"/>
    <s v="HR Executive"/>
    <x v="1"/>
    <n v="57"/>
    <s v="Married"/>
    <s v="2018-02-18"/>
    <m/>
    <x v="1"/>
    <x v="657"/>
    <n v="5"/>
    <x v="4"/>
    <x v="0"/>
    <n v="33"/>
    <n v="8.5"/>
    <s v="Medium"/>
  </r>
  <r>
    <x v="659"/>
    <s v="Rita Rao"/>
    <x v="2"/>
    <s v="Recruiter"/>
    <x v="1"/>
    <n v="37"/>
    <s v="Married"/>
    <s v="2022-06-05"/>
    <s v="2026-06-20"/>
    <x v="0"/>
    <x v="658"/>
    <n v="2"/>
    <x v="1"/>
    <x v="0"/>
    <n v="30"/>
    <n v="4"/>
    <s v="N/A"/>
  </r>
  <r>
    <x v="660"/>
    <s v="Ashok Das"/>
    <x v="1"/>
    <s v="IT Support"/>
    <x v="0"/>
    <n v="22"/>
    <s v="Divorced"/>
    <s v="2025-02-09"/>
    <m/>
    <x v="1"/>
    <x v="659"/>
    <n v="4"/>
    <x v="4"/>
    <x v="1"/>
    <n v="36"/>
    <n v="1.5"/>
    <s v="High"/>
  </r>
  <r>
    <x v="661"/>
    <s v="Vikram Bose"/>
    <x v="4"/>
    <s v="Finance Manager"/>
    <x v="0"/>
    <n v="23"/>
    <s v="Married"/>
    <s v="2025-01-03"/>
    <m/>
    <x v="1"/>
    <x v="660"/>
    <n v="1"/>
    <x v="2"/>
    <x v="0"/>
    <n v="23"/>
    <n v="1.6"/>
    <s v="Low"/>
  </r>
  <r>
    <x v="662"/>
    <s v="Rahul Kumar"/>
    <x v="2"/>
    <s v="HR Manager"/>
    <x v="0"/>
    <n v="51"/>
    <s v="Single"/>
    <s v="2019-02-26"/>
    <m/>
    <x v="1"/>
    <x v="661"/>
    <n v="1"/>
    <x v="2"/>
    <x v="0"/>
    <n v="15"/>
    <n v="7.4"/>
    <s v="Low"/>
  </r>
  <r>
    <x v="663"/>
    <s v="Meena Patel"/>
    <x v="0"/>
    <s v="Content Specialist"/>
    <x v="1"/>
    <n v="41"/>
    <s v="Married"/>
    <s v="2024-01-25"/>
    <m/>
    <x v="1"/>
    <x v="662"/>
    <n v="4"/>
    <x v="4"/>
    <x v="0"/>
    <n v="24"/>
    <n v="2.5"/>
    <s v="Medium"/>
  </r>
  <r>
    <x v="664"/>
    <s v="Rahul Gupta"/>
    <x v="0"/>
    <s v="Content Specialist"/>
    <x v="0"/>
    <n v="47"/>
    <s v="Divorced"/>
    <s v="2016-03-30"/>
    <m/>
    <x v="1"/>
    <x v="663"/>
    <n v="5"/>
    <x v="0"/>
    <x v="0"/>
    <n v="32"/>
    <n v="10.4"/>
    <s v="Low"/>
  </r>
  <r>
    <x v="665"/>
    <s v="Vikram Chauhan"/>
    <x v="0"/>
    <s v="Content Specialist"/>
    <x v="0"/>
    <n v="30"/>
    <s v="Divorced"/>
    <s v="2023-05-14"/>
    <m/>
    <x v="1"/>
    <x v="664"/>
    <n v="5"/>
    <x v="1"/>
    <x v="1"/>
    <n v="15"/>
    <n v="3.2"/>
    <s v="Medium"/>
  </r>
  <r>
    <x v="666"/>
    <s v="Sunil Bhatt"/>
    <x v="2"/>
    <s v="HR Executive"/>
    <x v="0"/>
    <n v="38"/>
    <s v="Divorced"/>
    <s v="2022-08-20"/>
    <m/>
    <x v="1"/>
    <x v="665"/>
    <n v="1"/>
    <x v="2"/>
    <x v="0"/>
    <n v="28"/>
    <n v="4"/>
    <s v="Low"/>
  </r>
  <r>
    <x v="667"/>
    <s v="Nisha Rao"/>
    <x v="5"/>
    <s v="Sales Manager"/>
    <x v="1"/>
    <n v="29"/>
    <s v="Single"/>
    <s v="2022-08-17"/>
    <m/>
    <x v="1"/>
    <x v="666"/>
    <n v="3"/>
    <x v="2"/>
    <x v="0"/>
    <n v="34"/>
    <n v="4"/>
    <s v="Low"/>
  </r>
  <r>
    <x v="668"/>
    <s v="Nisha Bose"/>
    <x v="1"/>
    <s v="Software Engineer"/>
    <x v="1"/>
    <n v="50"/>
    <s v="Divorced"/>
    <s v="2018-07-19"/>
    <m/>
    <x v="1"/>
    <x v="667"/>
    <n v="3"/>
    <x v="4"/>
    <x v="1"/>
    <n v="6"/>
    <n v="8.1"/>
    <s v="High"/>
  </r>
  <r>
    <x v="669"/>
    <s v="Anjali Mehta"/>
    <x v="0"/>
    <s v="Marketing Executive"/>
    <x v="1"/>
    <n v="34"/>
    <s v="Married"/>
    <s v="2016-11-04"/>
    <m/>
    <x v="1"/>
    <x v="668"/>
    <n v="1"/>
    <x v="3"/>
    <x v="1"/>
    <n v="2"/>
    <n v="9.8000000000000007"/>
    <s v="High"/>
  </r>
  <r>
    <x v="670"/>
    <s v="Shweta Mehta"/>
    <x v="3"/>
    <s v="Logistics Coordinator"/>
    <x v="1"/>
    <n v="28"/>
    <s v="Single"/>
    <s v="2020-04-23"/>
    <m/>
    <x v="1"/>
    <x v="669"/>
    <n v="1"/>
    <x v="1"/>
    <x v="1"/>
    <n v="22"/>
    <n v="6.3"/>
    <s v="Medium"/>
  </r>
  <r>
    <x v="671"/>
    <s v="Pooja Kapoor"/>
    <x v="3"/>
    <s v="Logistics Coordinator"/>
    <x v="1"/>
    <n v="29"/>
    <s v="Divorced"/>
    <s v="2015-12-17"/>
    <s v="2017-07-21"/>
    <x v="0"/>
    <x v="670"/>
    <n v="4"/>
    <x v="3"/>
    <x v="0"/>
    <n v="21"/>
    <n v="1.6"/>
    <s v="N/A"/>
  </r>
  <r>
    <x v="672"/>
    <s v="Deepak Bhatt"/>
    <x v="5"/>
    <s v="Sales Manager"/>
    <x v="0"/>
    <n v="49"/>
    <s v="Married"/>
    <s v="2015-09-27"/>
    <s v="2022-10-28"/>
    <x v="0"/>
    <x v="671"/>
    <n v="5"/>
    <x v="3"/>
    <x v="1"/>
    <n v="4"/>
    <n v="7.1"/>
    <s v="N/A"/>
  </r>
  <r>
    <x v="673"/>
    <s v="Vivek Chopra"/>
    <x v="4"/>
    <s v="Financial Analyst"/>
    <x v="0"/>
    <n v="51"/>
    <s v="Divorced"/>
    <s v="2023-12-01"/>
    <m/>
    <x v="1"/>
    <x v="672"/>
    <n v="5"/>
    <x v="0"/>
    <x v="0"/>
    <n v="7"/>
    <n v="2.7"/>
    <s v="Low"/>
  </r>
  <r>
    <x v="674"/>
    <s v="Seema Gupta"/>
    <x v="5"/>
    <s v="Sales Manager"/>
    <x v="1"/>
    <n v="28"/>
    <s v="Divorced"/>
    <s v="2016-02-25"/>
    <s v="2022-01-08"/>
    <x v="0"/>
    <x v="673"/>
    <n v="5"/>
    <x v="3"/>
    <x v="1"/>
    <n v="13"/>
    <n v="5.9"/>
    <s v="N/A"/>
  </r>
  <r>
    <x v="675"/>
    <s v="Komal Bhatt"/>
    <x v="2"/>
    <s v="HR Manager"/>
    <x v="1"/>
    <n v="50"/>
    <s v="Divorced"/>
    <s v="2017-01-31"/>
    <s v="2024-07-22"/>
    <x v="0"/>
    <x v="674"/>
    <n v="1"/>
    <x v="3"/>
    <x v="1"/>
    <n v="9"/>
    <n v="7.5"/>
    <s v="N/A"/>
  </r>
  <r>
    <x v="676"/>
    <s v="Arjun Das"/>
    <x v="2"/>
    <s v="HR Manager"/>
    <x v="0"/>
    <n v="41"/>
    <s v="Divorced"/>
    <s v="2021-10-07"/>
    <m/>
    <x v="1"/>
    <x v="675"/>
    <n v="1"/>
    <x v="1"/>
    <x v="1"/>
    <n v="34"/>
    <n v="4.8"/>
    <s v="Medium"/>
  </r>
  <r>
    <x v="677"/>
    <s v="Ravi Iyer"/>
    <x v="5"/>
    <s v="Sales Executive"/>
    <x v="0"/>
    <n v="34"/>
    <s v="Divorced"/>
    <s v="2017-03-31"/>
    <m/>
    <x v="1"/>
    <x v="676"/>
    <n v="1"/>
    <x v="4"/>
    <x v="0"/>
    <n v="22"/>
    <n v="9.4"/>
    <s v="Medium"/>
  </r>
  <r>
    <x v="678"/>
    <s v="Seema Chauhan"/>
    <x v="0"/>
    <s v="Marketing Manager"/>
    <x v="1"/>
    <n v="43"/>
    <s v="Single"/>
    <s v="2021-11-28"/>
    <m/>
    <x v="1"/>
    <x v="677"/>
    <n v="2"/>
    <x v="1"/>
    <x v="1"/>
    <n v="7"/>
    <n v="4.7"/>
    <s v="Medium"/>
  </r>
  <r>
    <x v="679"/>
    <s v="Sanjay Kapoor"/>
    <x v="5"/>
    <s v="Account Manager"/>
    <x v="0"/>
    <n v="35"/>
    <s v="Single"/>
    <s v="2017-09-06"/>
    <m/>
    <x v="1"/>
    <x v="678"/>
    <n v="4"/>
    <x v="1"/>
    <x v="0"/>
    <n v="14"/>
    <n v="8.9"/>
    <s v="Low"/>
  </r>
  <r>
    <x v="680"/>
    <s v="Vikram Iyer"/>
    <x v="5"/>
    <s v="Sales Manager"/>
    <x v="0"/>
    <n v="23"/>
    <s v="Divorced"/>
    <s v="2021-03-22"/>
    <m/>
    <x v="1"/>
    <x v="679"/>
    <n v="4"/>
    <x v="1"/>
    <x v="1"/>
    <n v="13"/>
    <n v="5.4"/>
    <s v="Medium"/>
  </r>
  <r>
    <x v="681"/>
    <s v="Karan Gupta"/>
    <x v="2"/>
    <s v="HR Executive"/>
    <x v="0"/>
    <n v="40"/>
    <s v="Divorced"/>
    <s v="2016-12-14"/>
    <s v="2019-04-25"/>
    <x v="0"/>
    <x v="680"/>
    <n v="2"/>
    <x v="1"/>
    <x v="1"/>
    <n v="22"/>
    <n v="2.4"/>
    <s v="N/A"/>
  </r>
  <r>
    <x v="682"/>
    <s v="Pooja Sharma"/>
    <x v="5"/>
    <s v="Sales Executive"/>
    <x v="1"/>
    <n v="30"/>
    <s v="Married"/>
    <s v="2019-04-02"/>
    <s v="2023-08-04"/>
    <x v="0"/>
    <x v="681"/>
    <n v="3"/>
    <x v="3"/>
    <x v="0"/>
    <n v="14"/>
    <n v="4.3"/>
    <s v="N/A"/>
  </r>
  <r>
    <x v="683"/>
    <s v="Anjali Kumar"/>
    <x v="0"/>
    <s v="Marketing Executive"/>
    <x v="1"/>
    <n v="31"/>
    <s v="Divorced"/>
    <s v="2024-11-24"/>
    <m/>
    <x v="1"/>
    <x v="682"/>
    <n v="2"/>
    <x v="4"/>
    <x v="0"/>
    <n v="35"/>
    <n v="1.7"/>
    <s v="Medium"/>
  </r>
  <r>
    <x v="684"/>
    <s v="Amit Bhatt"/>
    <x v="3"/>
    <s v="Operations Manager"/>
    <x v="0"/>
    <n v="34"/>
    <s v="Divorced"/>
    <s v="2024-07-31"/>
    <m/>
    <x v="1"/>
    <x v="683"/>
    <n v="3"/>
    <x v="4"/>
    <x v="0"/>
    <n v="16"/>
    <n v="2"/>
    <s v="Medium"/>
  </r>
  <r>
    <x v="685"/>
    <s v="Meena Patel"/>
    <x v="1"/>
    <s v="IT Support"/>
    <x v="1"/>
    <n v="52"/>
    <s v="Divorced"/>
    <s v="2023-11-14"/>
    <m/>
    <x v="1"/>
    <x v="684"/>
    <n v="2"/>
    <x v="3"/>
    <x v="0"/>
    <n v="33"/>
    <n v="2.7"/>
    <s v="Medium"/>
  </r>
  <r>
    <x v="686"/>
    <s v="Kavita Reddy"/>
    <x v="2"/>
    <s v="HR Manager"/>
    <x v="1"/>
    <n v="45"/>
    <s v="Married"/>
    <s v="2020-11-22"/>
    <m/>
    <x v="1"/>
    <x v="685"/>
    <n v="4"/>
    <x v="2"/>
    <x v="0"/>
    <n v="18"/>
    <n v="5.7"/>
    <s v="Low"/>
  </r>
  <r>
    <x v="687"/>
    <s v="Karan Mehta"/>
    <x v="3"/>
    <s v="Logistics Coordinator"/>
    <x v="0"/>
    <n v="34"/>
    <s v="Married"/>
    <s v="2020-01-26"/>
    <m/>
    <x v="1"/>
    <x v="686"/>
    <n v="2"/>
    <x v="2"/>
    <x v="0"/>
    <n v="20"/>
    <n v="6.5"/>
    <s v="Low"/>
  </r>
  <r>
    <x v="688"/>
    <s v="Arjun Patel"/>
    <x v="2"/>
    <s v="HR Manager"/>
    <x v="0"/>
    <n v="40"/>
    <s v="Divorced"/>
    <s v="2019-12-26"/>
    <m/>
    <x v="1"/>
    <x v="687"/>
    <n v="5"/>
    <x v="4"/>
    <x v="0"/>
    <n v="3"/>
    <n v="6.6"/>
    <s v="Medium"/>
  </r>
  <r>
    <x v="689"/>
    <s v="Nisha Malhotra"/>
    <x v="4"/>
    <s v="Accountant"/>
    <x v="1"/>
    <n v="45"/>
    <s v="Married"/>
    <s v="2024-01-09"/>
    <m/>
    <x v="1"/>
    <x v="688"/>
    <n v="4"/>
    <x v="1"/>
    <x v="0"/>
    <n v="2"/>
    <n v="2.6"/>
    <s v="Low"/>
  </r>
  <r>
    <x v="690"/>
    <s v="Anjali Nair"/>
    <x v="0"/>
    <s v="Marketing Executive"/>
    <x v="1"/>
    <n v="54"/>
    <s v="Single"/>
    <s v="2020-10-01"/>
    <s v="2021-05-05"/>
    <x v="0"/>
    <x v="689"/>
    <n v="3"/>
    <x v="3"/>
    <x v="0"/>
    <n v="15"/>
    <n v="0.6"/>
    <s v="N/A"/>
  </r>
  <r>
    <x v="691"/>
    <s v="Meena Reddy"/>
    <x v="3"/>
    <s v="Operations Executive"/>
    <x v="1"/>
    <n v="38"/>
    <s v="Divorced"/>
    <s v="2018-05-24"/>
    <m/>
    <x v="1"/>
    <x v="690"/>
    <n v="2"/>
    <x v="1"/>
    <x v="0"/>
    <n v="39"/>
    <n v="8.1999999999999993"/>
    <s v="Low"/>
  </r>
  <r>
    <x v="692"/>
    <s v="Anita Iyer"/>
    <x v="2"/>
    <s v="HR Executive"/>
    <x v="1"/>
    <n v="47"/>
    <s v="Single"/>
    <s v="2019-07-20"/>
    <m/>
    <x v="1"/>
    <x v="359"/>
    <n v="4"/>
    <x v="3"/>
    <x v="0"/>
    <n v="42"/>
    <n v="7.1"/>
    <s v="Medium"/>
  </r>
  <r>
    <x v="693"/>
    <s v="Gaurav Mehta"/>
    <x v="1"/>
    <s v="Software Engineer"/>
    <x v="0"/>
    <n v="55"/>
    <s v="Single"/>
    <s v="2021-08-01"/>
    <m/>
    <x v="1"/>
    <x v="691"/>
    <n v="4"/>
    <x v="2"/>
    <x v="0"/>
    <n v="22"/>
    <n v="5"/>
    <s v="Low"/>
  </r>
  <r>
    <x v="694"/>
    <s v="Meena Kapoor"/>
    <x v="1"/>
    <s v="System Analyst"/>
    <x v="1"/>
    <n v="50"/>
    <s v="Single"/>
    <s v="2024-07-25"/>
    <m/>
    <x v="1"/>
    <x v="692"/>
    <n v="2"/>
    <x v="1"/>
    <x v="0"/>
    <n v="37"/>
    <n v="2"/>
    <s v="Low"/>
  </r>
  <r>
    <x v="695"/>
    <s v="Sunita Reddy"/>
    <x v="0"/>
    <s v="Marketing Executive"/>
    <x v="1"/>
    <n v="36"/>
    <s v="Divorced"/>
    <s v="2019-09-13"/>
    <s v="2020-03-22"/>
    <x v="0"/>
    <x v="693"/>
    <n v="5"/>
    <x v="2"/>
    <x v="0"/>
    <n v="20"/>
    <n v="0.5"/>
    <s v="N/A"/>
  </r>
  <r>
    <x v="696"/>
    <s v="Seema Bhatt"/>
    <x v="1"/>
    <s v="Software Engineer"/>
    <x v="1"/>
    <n v="58"/>
    <s v="Divorced"/>
    <s v="2024-09-21"/>
    <m/>
    <x v="1"/>
    <x v="694"/>
    <n v="2"/>
    <x v="2"/>
    <x v="0"/>
    <n v="26"/>
    <n v="1.9"/>
    <s v="Low"/>
  </r>
  <r>
    <x v="697"/>
    <s v="Seema Kapoor"/>
    <x v="4"/>
    <s v="Financial Analyst"/>
    <x v="1"/>
    <n v="41"/>
    <s v="Divorced"/>
    <s v="2016-01-17"/>
    <m/>
    <x v="1"/>
    <x v="695"/>
    <n v="2"/>
    <x v="0"/>
    <x v="1"/>
    <n v="3"/>
    <n v="10.6"/>
    <s v="Medium"/>
  </r>
  <r>
    <x v="698"/>
    <s v="Vikram Chopra"/>
    <x v="5"/>
    <s v="Sales Executive"/>
    <x v="0"/>
    <n v="40"/>
    <s v="Married"/>
    <s v="2017-04-23"/>
    <m/>
    <x v="1"/>
    <x v="696"/>
    <n v="1"/>
    <x v="0"/>
    <x v="1"/>
    <n v="30"/>
    <n v="9.3000000000000007"/>
    <s v="Medium"/>
  </r>
  <r>
    <x v="699"/>
    <s v="Swati Joshi"/>
    <x v="1"/>
    <s v="System Analyst"/>
    <x v="1"/>
    <n v="29"/>
    <s v="Single"/>
    <s v="2016-06-12"/>
    <s v="2018-12-01"/>
    <x v="0"/>
    <x v="697"/>
    <n v="1"/>
    <x v="2"/>
    <x v="0"/>
    <n v="25"/>
    <n v="2.5"/>
    <s v="N/A"/>
  </r>
  <r>
    <x v="700"/>
    <s v="Kavita Bhatt"/>
    <x v="2"/>
    <s v="HR Manager"/>
    <x v="1"/>
    <n v="58"/>
    <s v="Single"/>
    <s v="2018-06-25"/>
    <m/>
    <x v="1"/>
    <x v="698"/>
    <n v="4"/>
    <x v="0"/>
    <x v="0"/>
    <n v="18"/>
    <n v="8.1"/>
    <s v="Low"/>
  </r>
  <r>
    <x v="701"/>
    <s v="Nidhi Mehta"/>
    <x v="4"/>
    <s v="Financial Analyst"/>
    <x v="1"/>
    <n v="55"/>
    <s v="Single"/>
    <s v="2018-09-09"/>
    <m/>
    <x v="1"/>
    <x v="699"/>
    <n v="4"/>
    <x v="2"/>
    <x v="0"/>
    <n v="30"/>
    <n v="7.9"/>
    <s v="Low"/>
  </r>
  <r>
    <x v="702"/>
    <s v="Sunita Nair"/>
    <x v="2"/>
    <s v="Recruiter"/>
    <x v="1"/>
    <n v="47"/>
    <s v="Divorced"/>
    <s v="2021-11-15"/>
    <m/>
    <x v="1"/>
    <x v="700"/>
    <n v="4"/>
    <x v="4"/>
    <x v="0"/>
    <n v="16"/>
    <n v="4.7"/>
    <s v="Medium"/>
  </r>
  <r>
    <x v="703"/>
    <s v="Prakash Kumar"/>
    <x v="4"/>
    <s v="Accountant"/>
    <x v="0"/>
    <n v="47"/>
    <s v="Divorced"/>
    <s v="2022-11-01"/>
    <m/>
    <x v="1"/>
    <x v="701"/>
    <n v="2"/>
    <x v="4"/>
    <x v="0"/>
    <n v="18"/>
    <n v="3.8"/>
    <s v="Medium"/>
  </r>
  <r>
    <x v="704"/>
    <s v="Gaurav Malhotra"/>
    <x v="0"/>
    <s v="Marketing Executive"/>
    <x v="0"/>
    <n v="57"/>
    <s v="Married"/>
    <s v="2016-05-11"/>
    <m/>
    <x v="1"/>
    <x v="702"/>
    <n v="1"/>
    <x v="3"/>
    <x v="0"/>
    <n v="33"/>
    <n v="10.199999999999999"/>
    <s v="Medium"/>
  </r>
  <r>
    <x v="705"/>
    <s v="Rajesh Verma"/>
    <x v="1"/>
    <s v="System Analyst"/>
    <x v="0"/>
    <n v="51"/>
    <s v="Married"/>
    <s v="2015-04-20"/>
    <m/>
    <x v="1"/>
    <x v="703"/>
    <n v="4"/>
    <x v="2"/>
    <x v="1"/>
    <n v="22"/>
    <n v="11.3"/>
    <s v="Medium"/>
  </r>
  <r>
    <x v="706"/>
    <s v="Manoj Kumar"/>
    <x v="4"/>
    <s v="Financial Analyst"/>
    <x v="0"/>
    <n v="30"/>
    <s v="Single"/>
    <s v="2018-09-01"/>
    <m/>
    <x v="1"/>
    <x v="704"/>
    <n v="4"/>
    <x v="2"/>
    <x v="0"/>
    <n v="30"/>
    <n v="7.9"/>
    <s v="Low"/>
  </r>
  <r>
    <x v="707"/>
    <s v="Sneha Das"/>
    <x v="1"/>
    <s v="IT Support"/>
    <x v="1"/>
    <n v="39"/>
    <s v="Married"/>
    <s v="2024-06-09"/>
    <s v="2025-09-12"/>
    <x v="0"/>
    <x v="705"/>
    <n v="5"/>
    <x v="3"/>
    <x v="1"/>
    <n v="7"/>
    <n v="1.3"/>
    <s v="N/A"/>
  </r>
  <r>
    <x v="708"/>
    <s v="Manoj Singh"/>
    <x v="1"/>
    <s v="Software Engineer"/>
    <x v="0"/>
    <n v="50"/>
    <s v="Divorced"/>
    <s v="2019-01-06"/>
    <s v="2026-04-19"/>
    <x v="0"/>
    <x v="706"/>
    <n v="5"/>
    <x v="3"/>
    <x v="1"/>
    <n v="14"/>
    <n v="7.3"/>
    <s v="N/A"/>
  </r>
  <r>
    <x v="709"/>
    <s v="Nikhil Nair"/>
    <x v="3"/>
    <s v="Logistics Coordinator"/>
    <x v="0"/>
    <n v="50"/>
    <s v="Single"/>
    <s v="2015-08-03"/>
    <m/>
    <x v="1"/>
    <x v="707"/>
    <n v="4"/>
    <x v="3"/>
    <x v="0"/>
    <n v="13"/>
    <n v="11"/>
    <s v="Medium"/>
  </r>
  <r>
    <x v="710"/>
    <s v="Rahul Malhotra"/>
    <x v="1"/>
    <s v="Software Engineer"/>
    <x v="0"/>
    <n v="23"/>
    <s v="Single"/>
    <s v="2015-03-01"/>
    <m/>
    <x v="1"/>
    <x v="708"/>
    <n v="1"/>
    <x v="4"/>
    <x v="1"/>
    <n v="15"/>
    <n v="11.4"/>
    <s v="High"/>
  </r>
  <r>
    <x v="711"/>
    <s v="Amit Malhotra"/>
    <x v="0"/>
    <s v="Marketing Executive"/>
    <x v="0"/>
    <n v="54"/>
    <s v="Divorced"/>
    <s v="2016-03-17"/>
    <m/>
    <x v="1"/>
    <x v="709"/>
    <n v="5"/>
    <x v="1"/>
    <x v="0"/>
    <n v="41"/>
    <n v="10.4"/>
    <s v="Low"/>
  </r>
  <r>
    <x v="712"/>
    <s v="Pooja Mehta"/>
    <x v="3"/>
    <s v="Operations Manager"/>
    <x v="1"/>
    <n v="35"/>
    <s v="Married"/>
    <s v="2016-03-09"/>
    <s v="2018-09-26"/>
    <x v="0"/>
    <x v="710"/>
    <n v="1"/>
    <x v="4"/>
    <x v="0"/>
    <n v="26"/>
    <n v="2.6"/>
    <s v="N/A"/>
  </r>
  <r>
    <x v="713"/>
    <s v="Manoj Bhatt"/>
    <x v="4"/>
    <s v="Financial Analyst"/>
    <x v="0"/>
    <n v="45"/>
    <s v="Divorced"/>
    <s v="2015-06-29"/>
    <m/>
    <x v="1"/>
    <x v="711"/>
    <n v="4"/>
    <x v="4"/>
    <x v="1"/>
    <n v="20"/>
    <n v="11.1"/>
    <s v="High"/>
  </r>
  <r>
    <x v="714"/>
    <s v="Manoj Kumar"/>
    <x v="5"/>
    <s v="Account Manager"/>
    <x v="0"/>
    <n v="42"/>
    <s v="Divorced"/>
    <s v="2022-01-28"/>
    <s v="2025-12-22"/>
    <x v="0"/>
    <x v="712"/>
    <n v="3"/>
    <x v="4"/>
    <x v="0"/>
    <n v="12"/>
    <n v="3.9"/>
    <s v="N/A"/>
  </r>
  <r>
    <x v="715"/>
    <s v="Priya Bhatt"/>
    <x v="4"/>
    <s v="Financial Analyst"/>
    <x v="1"/>
    <n v="50"/>
    <s v="Single"/>
    <s v="2019-04-16"/>
    <s v="2026-05-13"/>
    <x v="0"/>
    <x v="713"/>
    <n v="5"/>
    <x v="4"/>
    <x v="0"/>
    <n v="38"/>
    <n v="7.1"/>
    <s v="N/A"/>
  </r>
  <r>
    <x v="716"/>
    <s v="Ravi Mehta"/>
    <x v="5"/>
    <s v="Sales Manager"/>
    <x v="0"/>
    <n v="27"/>
    <s v="Married"/>
    <s v="2015-09-03"/>
    <s v="2016-04-05"/>
    <x v="0"/>
    <x v="714"/>
    <n v="3"/>
    <x v="2"/>
    <x v="1"/>
    <n v="13"/>
    <n v="0.6"/>
    <s v="N/A"/>
  </r>
  <r>
    <x v="717"/>
    <s v="Rekha Singh"/>
    <x v="1"/>
    <s v="IT Support"/>
    <x v="1"/>
    <n v="39"/>
    <s v="Married"/>
    <s v="2018-07-24"/>
    <m/>
    <x v="1"/>
    <x v="715"/>
    <n v="5"/>
    <x v="3"/>
    <x v="0"/>
    <n v="27"/>
    <n v="8"/>
    <s v="Medium"/>
  </r>
  <r>
    <x v="718"/>
    <s v="Rekha Mehta"/>
    <x v="1"/>
    <s v="IT Support"/>
    <x v="1"/>
    <n v="35"/>
    <s v="Married"/>
    <s v="2021-01-18"/>
    <m/>
    <x v="1"/>
    <x v="716"/>
    <n v="2"/>
    <x v="4"/>
    <x v="1"/>
    <n v="39"/>
    <n v="5.6"/>
    <s v="High"/>
  </r>
  <r>
    <x v="719"/>
    <s v="Vikram Das"/>
    <x v="1"/>
    <s v="System Analyst"/>
    <x v="0"/>
    <n v="26"/>
    <s v="Single"/>
    <s v="2017-02-27"/>
    <m/>
    <x v="1"/>
    <x v="717"/>
    <n v="2"/>
    <x v="4"/>
    <x v="1"/>
    <n v="9"/>
    <n v="9.4"/>
    <s v="High"/>
  </r>
  <r>
    <x v="720"/>
    <s v="Ravi Kapoor"/>
    <x v="1"/>
    <s v="Software Engineer"/>
    <x v="0"/>
    <n v="41"/>
    <s v="Single"/>
    <s v="2016-11-03"/>
    <s v="2023-06-21"/>
    <x v="0"/>
    <x v="718"/>
    <n v="4"/>
    <x v="4"/>
    <x v="0"/>
    <n v="12"/>
    <n v="6.6"/>
    <s v="N/A"/>
  </r>
  <r>
    <x v="721"/>
    <s v="Manoj Das"/>
    <x v="4"/>
    <s v="Finance Manager"/>
    <x v="0"/>
    <n v="27"/>
    <s v="Divorced"/>
    <s v="2019-01-12"/>
    <m/>
    <x v="1"/>
    <x v="719"/>
    <n v="4"/>
    <x v="4"/>
    <x v="0"/>
    <n v="29"/>
    <n v="7.6"/>
    <s v="Medium"/>
  </r>
  <r>
    <x v="722"/>
    <s v="Priya Chopra"/>
    <x v="4"/>
    <s v="Financial Analyst"/>
    <x v="1"/>
    <n v="49"/>
    <s v="Divorced"/>
    <s v="2024-07-30"/>
    <m/>
    <x v="1"/>
    <x v="720"/>
    <n v="5"/>
    <x v="1"/>
    <x v="1"/>
    <n v="35"/>
    <n v="2"/>
    <s v="Medium"/>
  </r>
  <r>
    <x v="723"/>
    <s v="Anita Kapoor"/>
    <x v="2"/>
    <s v="HR Manager"/>
    <x v="1"/>
    <n v="40"/>
    <s v="Divorced"/>
    <s v="2019-03-17"/>
    <m/>
    <x v="1"/>
    <x v="721"/>
    <n v="1"/>
    <x v="2"/>
    <x v="0"/>
    <n v="22"/>
    <n v="7.4"/>
    <s v="Low"/>
  </r>
  <r>
    <x v="724"/>
    <s v="Rahul Pillai"/>
    <x v="1"/>
    <s v="Software Engineer"/>
    <x v="0"/>
    <n v="45"/>
    <s v="Married"/>
    <s v="2020-07-05"/>
    <m/>
    <x v="1"/>
    <x v="722"/>
    <n v="4"/>
    <x v="2"/>
    <x v="0"/>
    <n v="24"/>
    <n v="6.1"/>
    <s v="Low"/>
  </r>
  <r>
    <x v="725"/>
    <s v="Neha Kumar"/>
    <x v="3"/>
    <s v="Operations Executive"/>
    <x v="1"/>
    <n v="46"/>
    <s v="Divorced"/>
    <s v="2025-06-15"/>
    <m/>
    <x v="1"/>
    <x v="723"/>
    <n v="4"/>
    <x v="4"/>
    <x v="0"/>
    <n v="17"/>
    <n v="1.1000000000000001"/>
    <s v="Medium"/>
  </r>
  <r>
    <x v="726"/>
    <s v="Neha Chopra"/>
    <x v="0"/>
    <s v="Marketing Manager"/>
    <x v="1"/>
    <n v="49"/>
    <s v="Divorced"/>
    <s v="2023-04-02"/>
    <m/>
    <x v="1"/>
    <x v="724"/>
    <n v="1"/>
    <x v="2"/>
    <x v="1"/>
    <n v="24"/>
    <n v="3.4"/>
    <s v="Medium"/>
  </r>
  <r>
    <x v="727"/>
    <s v="Manoj Bhatt"/>
    <x v="0"/>
    <s v="Content Specialist"/>
    <x v="0"/>
    <n v="51"/>
    <s v="Divorced"/>
    <s v="2022-08-21"/>
    <m/>
    <x v="1"/>
    <x v="725"/>
    <n v="5"/>
    <x v="4"/>
    <x v="1"/>
    <n v="38"/>
    <n v="4"/>
    <s v="High"/>
  </r>
  <r>
    <x v="728"/>
    <s v="Nikhil Chopra"/>
    <x v="5"/>
    <s v="Sales Executive"/>
    <x v="0"/>
    <n v="27"/>
    <s v="Divorced"/>
    <s v="2020-10-24"/>
    <m/>
    <x v="1"/>
    <x v="726"/>
    <n v="2"/>
    <x v="2"/>
    <x v="0"/>
    <n v="28"/>
    <n v="5.8"/>
    <s v="Low"/>
  </r>
  <r>
    <x v="729"/>
    <s v="Seema Nair"/>
    <x v="3"/>
    <s v="Logistics Coordinator"/>
    <x v="1"/>
    <n v="48"/>
    <s v="Married"/>
    <s v="2023-06-10"/>
    <m/>
    <x v="1"/>
    <x v="727"/>
    <n v="1"/>
    <x v="3"/>
    <x v="0"/>
    <n v="41"/>
    <n v="3.2"/>
    <s v="Medium"/>
  </r>
  <r>
    <x v="730"/>
    <s v="Nikhil Nair"/>
    <x v="2"/>
    <s v="Recruiter"/>
    <x v="0"/>
    <n v="22"/>
    <s v="Divorced"/>
    <s v="2016-11-20"/>
    <m/>
    <x v="1"/>
    <x v="728"/>
    <n v="1"/>
    <x v="3"/>
    <x v="0"/>
    <n v="5"/>
    <n v="9.6999999999999993"/>
    <s v="Medium"/>
  </r>
  <r>
    <x v="731"/>
    <s v="Nisha Joshi"/>
    <x v="4"/>
    <s v="Finance Manager"/>
    <x v="1"/>
    <n v="33"/>
    <s v="Divorced"/>
    <s v="2019-03-15"/>
    <m/>
    <x v="1"/>
    <x v="729"/>
    <n v="2"/>
    <x v="4"/>
    <x v="1"/>
    <n v="32"/>
    <n v="7.4"/>
    <s v="High"/>
  </r>
  <r>
    <x v="732"/>
    <s v="Rohan Gupta"/>
    <x v="4"/>
    <s v="Finance Manager"/>
    <x v="0"/>
    <n v="25"/>
    <s v="Divorced"/>
    <s v="2023-05-30"/>
    <m/>
    <x v="1"/>
    <x v="730"/>
    <n v="3"/>
    <x v="4"/>
    <x v="1"/>
    <n v="27"/>
    <n v="3.2"/>
    <s v="High"/>
  </r>
  <r>
    <x v="733"/>
    <s v="Vikram Nair"/>
    <x v="5"/>
    <s v="Account Manager"/>
    <x v="0"/>
    <n v="27"/>
    <s v="Single"/>
    <s v="2019-03-28"/>
    <m/>
    <x v="1"/>
    <x v="731"/>
    <n v="3"/>
    <x v="3"/>
    <x v="1"/>
    <n v="2"/>
    <n v="7.4"/>
    <s v="High"/>
  </r>
  <r>
    <x v="734"/>
    <s v="Amit Rao"/>
    <x v="0"/>
    <s v="Marketing Executive"/>
    <x v="0"/>
    <n v="22"/>
    <s v="Single"/>
    <s v="2022-06-18"/>
    <m/>
    <x v="1"/>
    <x v="732"/>
    <n v="1"/>
    <x v="3"/>
    <x v="0"/>
    <n v="14"/>
    <n v="4.0999999999999996"/>
    <s v="Medium"/>
  </r>
  <r>
    <x v="735"/>
    <s v="Komal Reddy"/>
    <x v="3"/>
    <s v="Operations Manager"/>
    <x v="1"/>
    <n v="49"/>
    <s v="Married"/>
    <s v="2018-10-10"/>
    <m/>
    <x v="1"/>
    <x v="733"/>
    <n v="3"/>
    <x v="1"/>
    <x v="0"/>
    <n v="16"/>
    <n v="7.8"/>
    <s v="Low"/>
  </r>
  <r>
    <x v="736"/>
    <s v="Ajay Reddy"/>
    <x v="4"/>
    <s v="Finance Manager"/>
    <x v="0"/>
    <n v="28"/>
    <s v="Single"/>
    <s v="2015-01-13"/>
    <m/>
    <x v="1"/>
    <x v="734"/>
    <n v="2"/>
    <x v="2"/>
    <x v="0"/>
    <n v="2"/>
    <n v="11.6"/>
    <s v="Low"/>
  </r>
  <r>
    <x v="737"/>
    <s v="Ajay Kapoor"/>
    <x v="2"/>
    <s v="Recruiter"/>
    <x v="0"/>
    <n v="52"/>
    <s v="Married"/>
    <s v="2020-10-10"/>
    <s v="2024-12-23"/>
    <x v="0"/>
    <x v="735"/>
    <n v="1"/>
    <x v="4"/>
    <x v="0"/>
    <n v="41"/>
    <n v="4.2"/>
    <s v="N/A"/>
  </r>
  <r>
    <x v="738"/>
    <s v="Rita Mehta"/>
    <x v="5"/>
    <s v="Account Manager"/>
    <x v="1"/>
    <n v="53"/>
    <s v="Married"/>
    <s v="2019-06-28"/>
    <m/>
    <x v="1"/>
    <x v="736"/>
    <n v="3"/>
    <x v="3"/>
    <x v="0"/>
    <n v="28"/>
    <n v="7.1"/>
    <s v="Medium"/>
  </r>
  <r>
    <x v="739"/>
    <s v="Anita Bhatt"/>
    <x v="0"/>
    <s v="Marketing Executive"/>
    <x v="1"/>
    <n v="34"/>
    <s v="Single"/>
    <s v="2022-12-26"/>
    <m/>
    <x v="1"/>
    <x v="737"/>
    <n v="5"/>
    <x v="0"/>
    <x v="1"/>
    <n v="33"/>
    <n v="3.6"/>
    <s v="Medium"/>
  </r>
  <r>
    <x v="740"/>
    <s v="Kavita Kapoor"/>
    <x v="5"/>
    <s v="Sales Manager"/>
    <x v="1"/>
    <n v="29"/>
    <s v="Divorced"/>
    <s v="2020-05-28"/>
    <m/>
    <x v="1"/>
    <x v="738"/>
    <n v="2"/>
    <x v="4"/>
    <x v="0"/>
    <n v="14"/>
    <n v="6.2"/>
    <s v="Medium"/>
  </r>
  <r>
    <x v="741"/>
    <s v="Rohan Reddy"/>
    <x v="5"/>
    <s v="Sales Manager"/>
    <x v="0"/>
    <n v="46"/>
    <s v="Divorced"/>
    <s v="2023-08-05"/>
    <s v="2026-07-07"/>
    <x v="0"/>
    <x v="739"/>
    <n v="4"/>
    <x v="1"/>
    <x v="1"/>
    <n v="43"/>
    <n v="2.9"/>
    <s v="N/A"/>
  </r>
  <r>
    <x v="742"/>
    <s v="Divya Chauhan"/>
    <x v="5"/>
    <s v="Account Manager"/>
    <x v="1"/>
    <n v="26"/>
    <s v="Single"/>
    <s v="2022-03-22"/>
    <s v="2023-01-12"/>
    <x v="0"/>
    <x v="740"/>
    <n v="5"/>
    <x v="2"/>
    <x v="1"/>
    <n v="28"/>
    <n v="0.8"/>
    <s v="N/A"/>
  </r>
  <r>
    <x v="743"/>
    <s v="Vikram Reddy"/>
    <x v="2"/>
    <s v="HR Executive"/>
    <x v="0"/>
    <n v="34"/>
    <s v="Married"/>
    <s v="2023-05-08"/>
    <m/>
    <x v="1"/>
    <x v="741"/>
    <n v="3"/>
    <x v="0"/>
    <x v="0"/>
    <n v="9"/>
    <n v="3.3"/>
    <s v="Low"/>
  </r>
  <r>
    <x v="744"/>
    <s v="Deepak Verma"/>
    <x v="3"/>
    <s v="Logistics Coordinator"/>
    <x v="0"/>
    <n v="56"/>
    <s v="Divorced"/>
    <s v="2017-02-16"/>
    <m/>
    <x v="1"/>
    <x v="742"/>
    <n v="3"/>
    <x v="2"/>
    <x v="0"/>
    <n v="24"/>
    <n v="9.5"/>
    <s v="Low"/>
  </r>
  <r>
    <x v="745"/>
    <s v="Suresh Chopra"/>
    <x v="1"/>
    <s v="IT Support"/>
    <x v="0"/>
    <n v="22"/>
    <s v="Single"/>
    <s v="2021-01-13"/>
    <m/>
    <x v="1"/>
    <x v="743"/>
    <n v="2"/>
    <x v="1"/>
    <x v="0"/>
    <n v="19"/>
    <n v="5.6"/>
    <s v="Low"/>
  </r>
  <r>
    <x v="746"/>
    <s v="Sneha Verma"/>
    <x v="4"/>
    <s v="Financial Analyst"/>
    <x v="1"/>
    <n v="42"/>
    <s v="Divorced"/>
    <s v="2018-06-19"/>
    <m/>
    <x v="1"/>
    <x v="744"/>
    <n v="3"/>
    <x v="3"/>
    <x v="0"/>
    <n v="37"/>
    <n v="8.1"/>
    <s v="Medium"/>
  </r>
  <r>
    <x v="747"/>
    <s v="Neha Reddy"/>
    <x v="4"/>
    <s v="Accountant"/>
    <x v="1"/>
    <n v="31"/>
    <s v="Married"/>
    <s v="2024-04-14"/>
    <m/>
    <x v="1"/>
    <x v="745"/>
    <n v="1"/>
    <x v="4"/>
    <x v="0"/>
    <n v="12"/>
    <n v="2.2999999999999998"/>
    <s v="Medium"/>
  </r>
  <r>
    <x v="748"/>
    <s v="Rahul Bose"/>
    <x v="2"/>
    <s v="Recruiter"/>
    <x v="0"/>
    <n v="47"/>
    <s v="Single"/>
    <s v="2018-10-14"/>
    <m/>
    <x v="1"/>
    <x v="746"/>
    <n v="3"/>
    <x v="2"/>
    <x v="0"/>
    <n v="26"/>
    <n v="7.8"/>
    <s v="Low"/>
  </r>
  <r>
    <x v="749"/>
    <s v="Sunil Chopra"/>
    <x v="2"/>
    <s v="HR Manager"/>
    <x v="0"/>
    <n v="28"/>
    <s v="Divorced"/>
    <s v="2016-06-20"/>
    <s v="2018-03-05"/>
    <x v="0"/>
    <x v="747"/>
    <n v="1"/>
    <x v="0"/>
    <x v="1"/>
    <n v="20"/>
    <n v="1.7"/>
    <s v="N/A"/>
  </r>
  <r>
    <x v="750"/>
    <s v="Anita Singh"/>
    <x v="4"/>
    <s v="Finance Manager"/>
    <x v="1"/>
    <n v="35"/>
    <s v="Divorced"/>
    <s v="2017-06-12"/>
    <s v="2026-06-02"/>
    <x v="0"/>
    <x v="748"/>
    <n v="1"/>
    <x v="4"/>
    <x v="0"/>
    <n v="24"/>
    <n v="9"/>
    <s v="N/A"/>
  </r>
  <r>
    <x v="751"/>
    <s v="Kavita Verma"/>
    <x v="1"/>
    <s v="System Analyst"/>
    <x v="1"/>
    <n v="28"/>
    <s v="Divorced"/>
    <s v="2018-12-27"/>
    <m/>
    <x v="1"/>
    <x v="749"/>
    <n v="1"/>
    <x v="4"/>
    <x v="0"/>
    <n v="8"/>
    <n v="7.6"/>
    <s v="Medium"/>
  </r>
  <r>
    <x v="752"/>
    <s v="Divya Verma"/>
    <x v="4"/>
    <s v="Financial Analyst"/>
    <x v="1"/>
    <n v="29"/>
    <s v="Divorced"/>
    <s v="2017-09-13"/>
    <m/>
    <x v="1"/>
    <x v="750"/>
    <n v="5"/>
    <x v="1"/>
    <x v="0"/>
    <n v="12"/>
    <n v="8.9"/>
    <s v="Low"/>
  </r>
  <r>
    <x v="753"/>
    <s v="Vivek Chopra"/>
    <x v="0"/>
    <s v="Content Specialist"/>
    <x v="0"/>
    <n v="39"/>
    <s v="Single"/>
    <s v="2022-02-03"/>
    <s v="2025-11-07"/>
    <x v="0"/>
    <x v="751"/>
    <n v="1"/>
    <x v="1"/>
    <x v="0"/>
    <n v="8"/>
    <n v="3.8"/>
    <s v="N/A"/>
  </r>
  <r>
    <x v="754"/>
    <s v="Rahul Chauhan"/>
    <x v="0"/>
    <s v="Content Specialist"/>
    <x v="0"/>
    <n v="58"/>
    <s v="Married"/>
    <s v="2021-06-03"/>
    <m/>
    <x v="1"/>
    <x v="752"/>
    <n v="5"/>
    <x v="3"/>
    <x v="0"/>
    <n v="12"/>
    <n v="5.2"/>
    <s v="Medium"/>
  </r>
  <r>
    <x v="755"/>
    <s v="Seema Singh"/>
    <x v="0"/>
    <s v="Marketing Manager"/>
    <x v="1"/>
    <n v="28"/>
    <s v="Divorced"/>
    <s v="2018-08-25"/>
    <s v="2025-01-17"/>
    <x v="0"/>
    <x v="753"/>
    <n v="2"/>
    <x v="0"/>
    <x v="1"/>
    <n v="26"/>
    <n v="6.4"/>
    <s v="N/A"/>
  </r>
  <r>
    <x v="756"/>
    <s v="Anjali Pillai"/>
    <x v="3"/>
    <s v="Logistics Coordinator"/>
    <x v="1"/>
    <n v="56"/>
    <s v="Single"/>
    <s v="2023-01-02"/>
    <s v="2026-07-11"/>
    <x v="0"/>
    <x v="754"/>
    <n v="2"/>
    <x v="3"/>
    <x v="0"/>
    <n v="43"/>
    <n v="3.5"/>
    <s v="N/A"/>
  </r>
  <r>
    <x v="757"/>
    <s v="Sunil Kapoor"/>
    <x v="0"/>
    <s v="Marketing Executive"/>
    <x v="0"/>
    <n v="42"/>
    <s v="Single"/>
    <s v="2016-05-18"/>
    <m/>
    <x v="1"/>
    <x v="755"/>
    <n v="2"/>
    <x v="0"/>
    <x v="1"/>
    <n v="42"/>
    <n v="10.199999999999999"/>
    <s v="Medium"/>
  </r>
  <r>
    <x v="758"/>
    <s v="Rajesh Nair"/>
    <x v="5"/>
    <s v="Sales Executive"/>
    <x v="0"/>
    <n v="45"/>
    <s v="Divorced"/>
    <s v="2021-02-07"/>
    <m/>
    <x v="1"/>
    <x v="756"/>
    <n v="2"/>
    <x v="3"/>
    <x v="1"/>
    <n v="20"/>
    <n v="5.5"/>
    <s v="High"/>
  </r>
  <r>
    <x v="759"/>
    <s v="Sneha Chauhan"/>
    <x v="2"/>
    <s v="Recruiter"/>
    <x v="1"/>
    <n v="53"/>
    <s v="Single"/>
    <s v="2022-10-18"/>
    <m/>
    <x v="1"/>
    <x v="757"/>
    <n v="5"/>
    <x v="1"/>
    <x v="1"/>
    <n v="35"/>
    <n v="3.8"/>
    <s v="Medium"/>
  </r>
  <r>
    <x v="760"/>
    <s v="Amit Gupta"/>
    <x v="0"/>
    <s v="Marketing Executive"/>
    <x v="0"/>
    <n v="31"/>
    <s v="Single"/>
    <s v="2018-05-12"/>
    <m/>
    <x v="1"/>
    <x v="758"/>
    <n v="2"/>
    <x v="4"/>
    <x v="0"/>
    <n v="39"/>
    <n v="8.1999999999999993"/>
    <s v="Medium"/>
  </r>
  <r>
    <x v="761"/>
    <s v="Anjali Bose"/>
    <x v="2"/>
    <s v="HR Executive"/>
    <x v="1"/>
    <n v="38"/>
    <s v="Married"/>
    <s v="2017-12-03"/>
    <m/>
    <x v="1"/>
    <x v="759"/>
    <n v="4"/>
    <x v="4"/>
    <x v="0"/>
    <n v="30"/>
    <n v="8.6999999999999993"/>
    <s v="Medium"/>
  </r>
  <r>
    <x v="762"/>
    <s v="Vikram Rao"/>
    <x v="0"/>
    <s v="Marketing Executive"/>
    <x v="0"/>
    <n v="34"/>
    <s v="Single"/>
    <s v="2023-01-05"/>
    <m/>
    <x v="1"/>
    <x v="760"/>
    <n v="5"/>
    <x v="0"/>
    <x v="0"/>
    <n v="11"/>
    <n v="3.6"/>
    <s v="Low"/>
  </r>
  <r>
    <x v="763"/>
    <s v="Ashok Mehta"/>
    <x v="4"/>
    <s v="Accountant"/>
    <x v="0"/>
    <n v="26"/>
    <s v="Married"/>
    <s v="2018-01-11"/>
    <m/>
    <x v="1"/>
    <x v="761"/>
    <n v="5"/>
    <x v="3"/>
    <x v="1"/>
    <n v="27"/>
    <n v="8.6"/>
    <s v="High"/>
  </r>
  <r>
    <x v="764"/>
    <s v="Sneha Mehta"/>
    <x v="2"/>
    <s v="HR Manager"/>
    <x v="1"/>
    <n v="39"/>
    <s v="Single"/>
    <s v="2015-02-10"/>
    <s v="2022-02-24"/>
    <x v="0"/>
    <x v="762"/>
    <n v="4"/>
    <x v="4"/>
    <x v="1"/>
    <n v="7"/>
    <n v="7"/>
    <s v="N/A"/>
  </r>
  <r>
    <x v="765"/>
    <s v="Rajesh Iyer"/>
    <x v="3"/>
    <s v="Operations Manager"/>
    <x v="0"/>
    <n v="58"/>
    <s v="Single"/>
    <s v="2024-09-14"/>
    <s v="2025-12-16"/>
    <x v="0"/>
    <x v="763"/>
    <n v="5"/>
    <x v="1"/>
    <x v="1"/>
    <n v="7"/>
    <n v="1.3"/>
    <s v="N/A"/>
  </r>
  <r>
    <x v="766"/>
    <s v="Komal Chauhan"/>
    <x v="1"/>
    <s v="System Analyst"/>
    <x v="1"/>
    <n v="30"/>
    <s v="Single"/>
    <s v="2017-11-27"/>
    <m/>
    <x v="1"/>
    <x v="764"/>
    <n v="2"/>
    <x v="0"/>
    <x v="1"/>
    <n v="43"/>
    <n v="8.6999999999999993"/>
    <s v="Medium"/>
  </r>
  <r>
    <x v="767"/>
    <s v="Ajay Mehta"/>
    <x v="0"/>
    <s v="Marketing Manager"/>
    <x v="0"/>
    <n v="48"/>
    <s v="Married"/>
    <s v="2022-12-04"/>
    <m/>
    <x v="1"/>
    <x v="765"/>
    <n v="3"/>
    <x v="2"/>
    <x v="0"/>
    <n v="30"/>
    <n v="3.7"/>
    <s v="Low"/>
  </r>
  <r>
    <x v="768"/>
    <s v="Deepak Patel"/>
    <x v="4"/>
    <s v="Finance Manager"/>
    <x v="0"/>
    <n v="41"/>
    <s v="Single"/>
    <s v="2019-07-24"/>
    <m/>
    <x v="1"/>
    <x v="766"/>
    <n v="1"/>
    <x v="3"/>
    <x v="0"/>
    <n v="5"/>
    <n v="7"/>
    <s v="Medium"/>
  </r>
  <r>
    <x v="769"/>
    <s v="Vikram Nair"/>
    <x v="1"/>
    <s v="IT Support"/>
    <x v="0"/>
    <n v="57"/>
    <s v="Divorced"/>
    <s v="2025-06-04"/>
    <s v="2026-04-14"/>
    <x v="0"/>
    <x v="767"/>
    <n v="4"/>
    <x v="3"/>
    <x v="0"/>
    <n v="44"/>
    <n v="0.9"/>
    <s v="N/A"/>
  </r>
  <r>
    <x v="770"/>
    <s v="Nikhil Sharma"/>
    <x v="3"/>
    <s v="Logistics Coordinator"/>
    <x v="0"/>
    <n v="34"/>
    <s v="Divorced"/>
    <s v="2025-03-19"/>
    <m/>
    <x v="1"/>
    <x v="768"/>
    <n v="4"/>
    <x v="3"/>
    <x v="0"/>
    <n v="45"/>
    <n v="1.4"/>
    <s v="Medium"/>
  </r>
  <r>
    <x v="771"/>
    <s v="Ashok Kapoor"/>
    <x v="0"/>
    <s v="Content Specialist"/>
    <x v="0"/>
    <n v="32"/>
    <s v="Married"/>
    <s v="2022-07-25"/>
    <m/>
    <x v="1"/>
    <x v="769"/>
    <n v="2"/>
    <x v="0"/>
    <x v="0"/>
    <n v="12"/>
    <n v="4"/>
    <s v="Low"/>
  </r>
  <r>
    <x v="772"/>
    <s v="Ravi Das"/>
    <x v="3"/>
    <s v="Operations Manager"/>
    <x v="0"/>
    <n v="46"/>
    <s v="Divorced"/>
    <s v="2016-11-29"/>
    <m/>
    <x v="1"/>
    <x v="770"/>
    <n v="3"/>
    <x v="3"/>
    <x v="0"/>
    <n v="44"/>
    <n v="9.6999999999999993"/>
    <s v="Medium"/>
  </r>
  <r>
    <x v="773"/>
    <s v="Komal Nair"/>
    <x v="5"/>
    <s v="Sales Manager"/>
    <x v="1"/>
    <n v="38"/>
    <s v="Married"/>
    <s v="2017-05-22"/>
    <m/>
    <x v="1"/>
    <x v="771"/>
    <n v="4"/>
    <x v="0"/>
    <x v="1"/>
    <n v="14"/>
    <n v="9.1999999999999993"/>
    <s v="Medium"/>
  </r>
  <r>
    <x v="774"/>
    <s v="Vivek Bhatt"/>
    <x v="0"/>
    <s v="Content Specialist"/>
    <x v="0"/>
    <n v="53"/>
    <s v="Married"/>
    <s v="2015-08-24"/>
    <s v="2019-09-24"/>
    <x v="0"/>
    <x v="772"/>
    <n v="4"/>
    <x v="0"/>
    <x v="0"/>
    <n v="22"/>
    <n v="4.0999999999999996"/>
    <s v="N/A"/>
  </r>
  <r>
    <x v="775"/>
    <s v="Sunita Sharma"/>
    <x v="0"/>
    <s v="Marketing Executive"/>
    <x v="1"/>
    <n v="28"/>
    <s v="Single"/>
    <s v="2019-10-31"/>
    <m/>
    <x v="1"/>
    <x v="773"/>
    <n v="5"/>
    <x v="3"/>
    <x v="0"/>
    <n v="33"/>
    <n v="6.8"/>
    <s v="Medium"/>
  </r>
  <r>
    <x v="776"/>
    <s v="Manoj Mehta"/>
    <x v="4"/>
    <s v="Financial Analyst"/>
    <x v="0"/>
    <n v="52"/>
    <s v="Married"/>
    <s v="2019-06-08"/>
    <s v="2024-07-07"/>
    <x v="0"/>
    <x v="774"/>
    <n v="4"/>
    <x v="1"/>
    <x v="0"/>
    <n v="12"/>
    <n v="5.0999999999999996"/>
    <s v="N/A"/>
  </r>
  <r>
    <x v="777"/>
    <s v="Arjun Iyer"/>
    <x v="0"/>
    <s v="Marketing Manager"/>
    <x v="0"/>
    <n v="49"/>
    <s v="Single"/>
    <s v="2015-01-24"/>
    <s v="2024-09-02"/>
    <x v="0"/>
    <x v="775"/>
    <n v="1"/>
    <x v="4"/>
    <x v="0"/>
    <n v="13"/>
    <n v="9.6"/>
    <s v="N/A"/>
  </r>
  <r>
    <x v="778"/>
    <s v="Rohan Gupta"/>
    <x v="0"/>
    <s v="Marketing Manager"/>
    <x v="0"/>
    <n v="52"/>
    <s v="Married"/>
    <s v="2022-06-17"/>
    <m/>
    <x v="1"/>
    <x v="776"/>
    <n v="4"/>
    <x v="3"/>
    <x v="0"/>
    <n v="32"/>
    <n v="4.0999999999999996"/>
    <s v="Medium"/>
  </r>
  <r>
    <x v="779"/>
    <s v="Swati Pillai"/>
    <x v="0"/>
    <s v="Marketing Executive"/>
    <x v="1"/>
    <n v="46"/>
    <s v="Married"/>
    <s v="2016-06-22"/>
    <m/>
    <x v="1"/>
    <x v="777"/>
    <n v="1"/>
    <x v="3"/>
    <x v="1"/>
    <n v="9"/>
    <n v="10.1"/>
    <s v="High"/>
  </r>
  <r>
    <x v="780"/>
    <s v="Anil Malhotra"/>
    <x v="0"/>
    <s v="Marketing Executive"/>
    <x v="0"/>
    <n v="22"/>
    <s v="Married"/>
    <s v="2019-11-15"/>
    <m/>
    <x v="1"/>
    <x v="778"/>
    <n v="4"/>
    <x v="1"/>
    <x v="0"/>
    <n v="6"/>
    <n v="6.7"/>
    <s v="Low"/>
  </r>
  <r>
    <x v="781"/>
    <s v="Sanjay Rao"/>
    <x v="1"/>
    <s v="IT Support"/>
    <x v="0"/>
    <n v="29"/>
    <s v="Divorced"/>
    <s v="2024-09-09"/>
    <m/>
    <x v="1"/>
    <x v="779"/>
    <n v="4"/>
    <x v="4"/>
    <x v="1"/>
    <n v="13"/>
    <n v="1.9"/>
    <s v="High"/>
  </r>
  <r>
    <x v="782"/>
    <s v="Karan Chauhan"/>
    <x v="5"/>
    <s v="Account Manager"/>
    <x v="0"/>
    <n v="31"/>
    <s v="Single"/>
    <s v="2017-07-28"/>
    <m/>
    <x v="1"/>
    <x v="780"/>
    <n v="1"/>
    <x v="2"/>
    <x v="1"/>
    <n v="18"/>
    <n v="9"/>
    <s v="Medium"/>
  </r>
  <r>
    <x v="783"/>
    <s v="Amit Chopra"/>
    <x v="3"/>
    <s v="Operations Executive"/>
    <x v="0"/>
    <n v="48"/>
    <s v="Married"/>
    <s v="2020-11-20"/>
    <s v="2023-06-12"/>
    <x v="0"/>
    <x v="781"/>
    <n v="2"/>
    <x v="4"/>
    <x v="1"/>
    <n v="22"/>
    <n v="2.6"/>
    <s v="N/A"/>
  </r>
  <r>
    <x v="784"/>
    <s v="Pooja Rao"/>
    <x v="0"/>
    <s v="Marketing Executive"/>
    <x v="1"/>
    <n v="45"/>
    <s v="Single"/>
    <s v="2018-02-23"/>
    <m/>
    <x v="1"/>
    <x v="782"/>
    <n v="2"/>
    <x v="2"/>
    <x v="0"/>
    <n v="21"/>
    <n v="8.5"/>
    <s v="Low"/>
  </r>
  <r>
    <x v="785"/>
    <s v="Meena Nair"/>
    <x v="5"/>
    <s v="Sales Executive"/>
    <x v="1"/>
    <n v="52"/>
    <s v="Married"/>
    <s v="2018-02-21"/>
    <m/>
    <x v="1"/>
    <x v="783"/>
    <n v="4"/>
    <x v="3"/>
    <x v="0"/>
    <n v="12"/>
    <n v="8.5"/>
    <s v="Medium"/>
  </r>
  <r>
    <x v="786"/>
    <s v="Rahul Bose"/>
    <x v="2"/>
    <s v="HR Executive"/>
    <x v="0"/>
    <n v="30"/>
    <s v="Married"/>
    <s v="2018-09-18"/>
    <m/>
    <x v="1"/>
    <x v="784"/>
    <n v="5"/>
    <x v="1"/>
    <x v="0"/>
    <n v="34"/>
    <n v="7.9"/>
    <s v="Low"/>
  </r>
  <r>
    <x v="787"/>
    <s v="Anjali Kumar"/>
    <x v="2"/>
    <s v="HR Executive"/>
    <x v="1"/>
    <n v="30"/>
    <s v="Divorced"/>
    <s v="2022-01-22"/>
    <m/>
    <x v="1"/>
    <x v="785"/>
    <n v="1"/>
    <x v="3"/>
    <x v="0"/>
    <n v="38"/>
    <n v="4.5"/>
    <s v="Medium"/>
  </r>
  <r>
    <x v="788"/>
    <s v="Pooja Patel"/>
    <x v="1"/>
    <s v="IT Support"/>
    <x v="1"/>
    <n v="56"/>
    <s v="Single"/>
    <s v="2021-12-10"/>
    <s v="2023-03-07"/>
    <x v="0"/>
    <x v="786"/>
    <n v="2"/>
    <x v="2"/>
    <x v="1"/>
    <n v="35"/>
    <n v="1.2"/>
    <s v="N/A"/>
  </r>
  <r>
    <x v="789"/>
    <s v="Ritu Iyer"/>
    <x v="4"/>
    <s v="Finance Manager"/>
    <x v="1"/>
    <n v="45"/>
    <s v="Married"/>
    <s v="2020-01-11"/>
    <m/>
    <x v="1"/>
    <x v="787"/>
    <n v="4"/>
    <x v="3"/>
    <x v="0"/>
    <n v="5"/>
    <n v="6.6"/>
    <s v="Medium"/>
  </r>
  <r>
    <x v="790"/>
    <s v="Ashok Rao"/>
    <x v="3"/>
    <s v="Operations Executive"/>
    <x v="0"/>
    <n v="30"/>
    <s v="Divorced"/>
    <s v="2018-04-01"/>
    <m/>
    <x v="1"/>
    <x v="788"/>
    <n v="1"/>
    <x v="0"/>
    <x v="1"/>
    <n v="45"/>
    <n v="8.4"/>
    <s v="Medium"/>
  </r>
  <r>
    <x v="791"/>
    <s v="Rohan Kapoor"/>
    <x v="4"/>
    <s v="Finance Manager"/>
    <x v="0"/>
    <n v="54"/>
    <s v="Single"/>
    <s v="2019-04-23"/>
    <m/>
    <x v="1"/>
    <x v="463"/>
    <n v="4"/>
    <x v="2"/>
    <x v="0"/>
    <n v="39"/>
    <n v="7.3"/>
    <s v="Low"/>
  </r>
  <r>
    <x v="792"/>
    <s v="Prakash Sharma"/>
    <x v="1"/>
    <s v="IT Support"/>
    <x v="0"/>
    <n v="54"/>
    <s v="Single"/>
    <s v="2020-02-09"/>
    <m/>
    <x v="1"/>
    <x v="789"/>
    <n v="3"/>
    <x v="0"/>
    <x v="0"/>
    <n v="20"/>
    <n v="6.5"/>
    <s v="Low"/>
  </r>
  <r>
    <x v="793"/>
    <s v="Rohan Mehta"/>
    <x v="2"/>
    <s v="Recruiter"/>
    <x v="0"/>
    <n v="24"/>
    <s v="Single"/>
    <s v="2020-12-25"/>
    <s v="2025-07-31"/>
    <x v="0"/>
    <x v="790"/>
    <n v="2"/>
    <x v="3"/>
    <x v="1"/>
    <n v="18"/>
    <n v="4.5999999999999996"/>
    <s v="N/A"/>
  </r>
  <r>
    <x v="794"/>
    <s v="Karan Bose"/>
    <x v="5"/>
    <s v="Account Manager"/>
    <x v="0"/>
    <n v="29"/>
    <s v="Divorced"/>
    <s v="2015-01-06"/>
    <m/>
    <x v="1"/>
    <x v="791"/>
    <n v="3"/>
    <x v="0"/>
    <x v="0"/>
    <n v="21"/>
    <n v="11.6"/>
    <s v="Low"/>
  </r>
  <r>
    <x v="795"/>
    <s v="Ravi Bhatt"/>
    <x v="2"/>
    <s v="Recruiter"/>
    <x v="0"/>
    <n v="40"/>
    <s v="Married"/>
    <s v="2018-08-22"/>
    <s v="2018-12-24"/>
    <x v="0"/>
    <x v="792"/>
    <n v="3"/>
    <x v="3"/>
    <x v="0"/>
    <n v="15"/>
    <n v="0.3"/>
    <s v="N/A"/>
  </r>
  <r>
    <x v="796"/>
    <s v="Nikhil Rao"/>
    <x v="3"/>
    <s v="Logistics Coordinator"/>
    <x v="0"/>
    <n v="57"/>
    <s v="Divorced"/>
    <s v="2017-04-24"/>
    <m/>
    <x v="1"/>
    <x v="793"/>
    <n v="3"/>
    <x v="4"/>
    <x v="0"/>
    <n v="18"/>
    <n v="9.3000000000000007"/>
    <s v="Medium"/>
  </r>
  <r>
    <x v="797"/>
    <s v="Divya Malhotra"/>
    <x v="4"/>
    <s v="Financial Analyst"/>
    <x v="1"/>
    <n v="45"/>
    <s v="Single"/>
    <s v="2016-08-30"/>
    <m/>
    <x v="1"/>
    <x v="794"/>
    <n v="4"/>
    <x v="3"/>
    <x v="0"/>
    <n v="12"/>
    <n v="9.9"/>
    <s v="Medium"/>
  </r>
  <r>
    <x v="798"/>
    <s v="Kavita Nair"/>
    <x v="1"/>
    <s v="Software Engineer"/>
    <x v="1"/>
    <n v="23"/>
    <s v="Single"/>
    <s v="2018-06-24"/>
    <s v="2019-06-14"/>
    <x v="0"/>
    <x v="795"/>
    <n v="4"/>
    <x v="4"/>
    <x v="1"/>
    <n v="44"/>
    <n v="1"/>
    <s v="N/A"/>
  </r>
  <r>
    <x v="799"/>
    <s v="Swati Kumar"/>
    <x v="4"/>
    <s v="Financial Analyst"/>
    <x v="1"/>
    <n v="55"/>
    <s v="Married"/>
    <s v="2016-07-16"/>
    <s v="2025-12-21"/>
    <x v="0"/>
    <x v="796"/>
    <n v="5"/>
    <x v="3"/>
    <x v="0"/>
    <n v="7"/>
    <n v="9.4"/>
    <s v="N/A"/>
  </r>
  <r>
    <x v="800"/>
    <s v="Arjun Mehta"/>
    <x v="5"/>
    <s v="Account Manager"/>
    <x v="0"/>
    <n v="27"/>
    <s v="Single"/>
    <s v="2018-01-01"/>
    <m/>
    <x v="1"/>
    <x v="797"/>
    <n v="1"/>
    <x v="0"/>
    <x v="1"/>
    <n v="1"/>
    <n v="8.6"/>
    <s v="Medium"/>
  </r>
  <r>
    <x v="801"/>
    <s v="Karan Singh"/>
    <x v="2"/>
    <s v="Recruiter"/>
    <x v="0"/>
    <n v="52"/>
    <s v="Married"/>
    <s v="2023-07-09"/>
    <s v="2023-12-30"/>
    <x v="0"/>
    <x v="798"/>
    <n v="2"/>
    <x v="2"/>
    <x v="0"/>
    <n v="20"/>
    <n v="0.5"/>
    <s v="N/A"/>
  </r>
  <r>
    <x v="802"/>
    <s v="Ritu Kumar"/>
    <x v="3"/>
    <s v="Logistics Coordinator"/>
    <x v="1"/>
    <n v="23"/>
    <s v="Married"/>
    <s v="2024-04-01"/>
    <s v="2025-01-15"/>
    <x v="0"/>
    <x v="799"/>
    <n v="3"/>
    <x v="0"/>
    <x v="1"/>
    <n v="7"/>
    <n v="0.8"/>
    <s v="N/A"/>
  </r>
  <r>
    <x v="803"/>
    <s v="Swati Singh"/>
    <x v="5"/>
    <s v="Sales Executive"/>
    <x v="1"/>
    <n v="44"/>
    <s v="Single"/>
    <s v="2022-05-08"/>
    <s v="2024-02-04"/>
    <x v="0"/>
    <x v="800"/>
    <n v="1"/>
    <x v="2"/>
    <x v="1"/>
    <n v="32"/>
    <n v="1.7"/>
    <s v="N/A"/>
  </r>
  <r>
    <x v="804"/>
    <s v="Pooja Iyer"/>
    <x v="2"/>
    <s v="HR Executive"/>
    <x v="1"/>
    <n v="27"/>
    <s v="Married"/>
    <s v="2025-01-16"/>
    <m/>
    <x v="1"/>
    <x v="801"/>
    <n v="2"/>
    <x v="4"/>
    <x v="1"/>
    <n v="28"/>
    <n v="1.6"/>
    <s v="High"/>
  </r>
  <r>
    <x v="805"/>
    <s v="Deepak Bhatt"/>
    <x v="0"/>
    <s v="Marketing Manager"/>
    <x v="0"/>
    <n v="40"/>
    <s v="Married"/>
    <s v="2018-11-27"/>
    <m/>
    <x v="1"/>
    <x v="802"/>
    <n v="4"/>
    <x v="1"/>
    <x v="0"/>
    <n v="43"/>
    <n v="7.7"/>
    <s v="Low"/>
  </r>
  <r>
    <x v="806"/>
    <s v="Arjun Singh"/>
    <x v="0"/>
    <s v="Marketing Executive"/>
    <x v="0"/>
    <n v="42"/>
    <s v="Married"/>
    <s v="2016-08-28"/>
    <m/>
    <x v="1"/>
    <x v="803"/>
    <n v="1"/>
    <x v="2"/>
    <x v="0"/>
    <n v="8"/>
    <n v="9.9"/>
    <s v="Low"/>
  </r>
  <r>
    <x v="807"/>
    <s v="Anil Singh"/>
    <x v="2"/>
    <s v="HR Executive"/>
    <x v="0"/>
    <n v="33"/>
    <s v="Divorced"/>
    <s v="2023-08-10"/>
    <m/>
    <x v="1"/>
    <x v="804"/>
    <n v="4"/>
    <x v="1"/>
    <x v="0"/>
    <n v="28"/>
    <n v="3"/>
    <s v="Low"/>
  </r>
  <r>
    <x v="808"/>
    <s v="Sneha Mehta"/>
    <x v="3"/>
    <s v="Logistics Coordinator"/>
    <x v="1"/>
    <n v="46"/>
    <s v="Divorced"/>
    <s v="2019-09-11"/>
    <m/>
    <x v="1"/>
    <x v="805"/>
    <n v="5"/>
    <x v="0"/>
    <x v="0"/>
    <n v="32"/>
    <n v="6.9"/>
    <s v="Low"/>
  </r>
  <r>
    <x v="809"/>
    <s v="Payal Chauhan"/>
    <x v="4"/>
    <s v="Financial Analyst"/>
    <x v="1"/>
    <n v="36"/>
    <s v="Single"/>
    <s v="2022-11-19"/>
    <m/>
    <x v="1"/>
    <x v="806"/>
    <n v="1"/>
    <x v="1"/>
    <x v="1"/>
    <n v="14"/>
    <n v="3.7"/>
    <s v="Medium"/>
  </r>
  <r>
    <x v="810"/>
    <s v="Amit Iyer"/>
    <x v="4"/>
    <s v="Financial Analyst"/>
    <x v="0"/>
    <n v="45"/>
    <s v="Divorced"/>
    <s v="2024-07-08"/>
    <m/>
    <x v="1"/>
    <x v="807"/>
    <n v="3"/>
    <x v="4"/>
    <x v="0"/>
    <n v="30"/>
    <n v="2.1"/>
    <s v="Medium"/>
  </r>
  <r>
    <x v="811"/>
    <s v="Sanjay Verma"/>
    <x v="4"/>
    <s v="Financial Analyst"/>
    <x v="0"/>
    <n v="30"/>
    <s v="Married"/>
    <s v="2016-04-25"/>
    <m/>
    <x v="1"/>
    <x v="808"/>
    <n v="4"/>
    <x v="4"/>
    <x v="0"/>
    <n v="2"/>
    <n v="10.3"/>
    <s v="Medium"/>
  </r>
  <r>
    <x v="812"/>
    <s v="Gaurav Bhatt"/>
    <x v="0"/>
    <s v="Marketing Executive"/>
    <x v="0"/>
    <n v="32"/>
    <s v="Single"/>
    <s v="2015-05-04"/>
    <m/>
    <x v="1"/>
    <x v="809"/>
    <n v="1"/>
    <x v="4"/>
    <x v="1"/>
    <n v="16"/>
    <n v="11.3"/>
    <s v="High"/>
  </r>
  <r>
    <x v="813"/>
    <s v="Gaurav Singh"/>
    <x v="4"/>
    <s v="Financial Analyst"/>
    <x v="0"/>
    <n v="55"/>
    <s v="Divorced"/>
    <s v="2022-11-01"/>
    <m/>
    <x v="1"/>
    <x v="810"/>
    <n v="4"/>
    <x v="2"/>
    <x v="0"/>
    <n v="22"/>
    <n v="3.8"/>
    <s v="Low"/>
  </r>
  <r>
    <x v="814"/>
    <s v="Amit Verma"/>
    <x v="2"/>
    <s v="HR Executive"/>
    <x v="0"/>
    <n v="33"/>
    <s v="Married"/>
    <s v="2020-08-23"/>
    <m/>
    <x v="1"/>
    <x v="811"/>
    <n v="4"/>
    <x v="2"/>
    <x v="1"/>
    <n v="44"/>
    <n v="6"/>
    <s v="Medium"/>
  </r>
  <r>
    <x v="815"/>
    <s v="Divya Malhotra"/>
    <x v="2"/>
    <s v="Recruiter"/>
    <x v="1"/>
    <n v="32"/>
    <s v="Single"/>
    <s v="2018-01-18"/>
    <m/>
    <x v="1"/>
    <x v="812"/>
    <n v="4"/>
    <x v="0"/>
    <x v="0"/>
    <n v="9"/>
    <n v="8.6"/>
    <s v="Low"/>
  </r>
  <r>
    <x v="816"/>
    <s v="Kavita Bose"/>
    <x v="5"/>
    <s v="Sales Executive"/>
    <x v="1"/>
    <n v="26"/>
    <s v="Married"/>
    <s v="2024-02-27"/>
    <m/>
    <x v="1"/>
    <x v="813"/>
    <n v="3"/>
    <x v="2"/>
    <x v="0"/>
    <n v="42"/>
    <n v="2.4"/>
    <s v="Low"/>
  </r>
  <r>
    <x v="817"/>
    <s v="Nisha Gupta"/>
    <x v="1"/>
    <s v="Software Engineer"/>
    <x v="1"/>
    <n v="39"/>
    <s v="Single"/>
    <s v="2016-03-20"/>
    <s v="2022-06-15"/>
    <x v="0"/>
    <x v="814"/>
    <n v="5"/>
    <x v="1"/>
    <x v="1"/>
    <n v="22"/>
    <n v="6.2"/>
    <s v="N/A"/>
  </r>
  <r>
    <x v="818"/>
    <s v="Ashok Sharma"/>
    <x v="5"/>
    <s v="Sales Executive"/>
    <x v="0"/>
    <n v="41"/>
    <s v="Divorced"/>
    <s v="2017-02-07"/>
    <m/>
    <x v="1"/>
    <x v="815"/>
    <n v="2"/>
    <x v="3"/>
    <x v="0"/>
    <n v="18"/>
    <n v="9.5"/>
    <s v="Medium"/>
  </r>
  <r>
    <x v="819"/>
    <s v="Amit Reddy"/>
    <x v="3"/>
    <s v="Operations Manager"/>
    <x v="0"/>
    <n v="27"/>
    <s v="Single"/>
    <s v="2018-06-18"/>
    <m/>
    <x v="1"/>
    <x v="816"/>
    <n v="3"/>
    <x v="1"/>
    <x v="1"/>
    <n v="26"/>
    <n v="8.1"/>
    <s v="Medium"/>
  </r>
  <r>
    <x v="820"/>
    <s v="Sneha Kumar"/>
    <x v="4"/>
    <s v="Finance Manager"/>
    <x v="1"/>
    <n v="43"/>
    <s v="Single"/>
    <s v="2019-07-27"/>
    <s v="2024-01-07"/>
    <x v="0"/>
    <x v="817"/>
    <n v="1"/>
    <x v="0"/>
    <x v="0"/>
    <n v="33"/>
    <n v="4.5"/>
    <s v="N/A"/>
  </r>
  <r>
    <x v="821"/>
    <s v="Deepak Joshi"/>
    <x v="4"/>
    <s v="Finance Manager"/>
    <x v="0"/>
    <n v="31"/>
    <s v="Divorced"/>
    <s v="2022-08-27"/>
    <m/>
    <x v="1"/>
    <x v="818"/>
    <n v="2"/>
    <x v="3"/>
    <x v="0"/>
    <n v="14"/>
    <n v="3.9"/>
    <s v="Medium"/>
  </r>
  <r>
    <x v="822"/>
    <s v="Rita Singh"/>
    <x v="0"/>
    <s v="Marketing Executive"/>
    <x v="1"/>
    <n v="43"/>
    <s v="Single"/>
    <s v="2018-04-06"/>
    <m/>
    <x v="1"/>
    <x v="819"/>
    <n v="1"/>
    <x v="2"/>
    <x v="0"/>
    <n v="44"/>
    <n v="8.3000000000000007"/>
    <s v="Low"/>
  </r>
  <r>
    <x v="823"/>
    <s v="Arjun Chauhan"/>
    <x v="3"/>
    <s v="Logistics Coordinator"/>
    <x v="0"/>
    <n v="53"/>
    <s v="Single"/>
    <s v="2016-02-03"/>
    <m/>
    <x v="1"/>
    <x v="820"/>
    <n v="3"/>
    <x v="4"/>
    <x v="0"/>
    <n v="36"/>
    <n v="10.5"/>
    <s v="Medium"/>
  </r>
  <r>
    <x v="824"/>
    <s v="Deepak Joshi"/>
    <x v="4"/>
    <s v="Accountant"/>
    <x v="0"/>
    <n v="26"/>
    <s v="Divorced"/>
    <s v="2018-02-21"/>
    <m/>
    <x v="1"/>
    <x v="821"/>
    <n v="1"/>
    <x v="1"/>
    <x v="0"/>
    <n v="5"/>
    <n v="8.5"/>
    <s v="Low"/>
  </r>
  <r>
    <x v="825"/>
    <s v="Rita Singh"/>
    <x v="2"/>
    <s v="HR Manager"/>
    <x v="1"/>
    <n v="29"/>
    <s v="Divorced"/>
    <s v="2021-05-18"/>
    <m/>
    <x v="1"/>
    <x v="822"/>
    <n v="3"/>
    <x v="1"/>
    <x v="0"/>
    <n v="26"/>
    <n v="5.2"/>
    <s v="Low"/>
  </r>
  <r>
    <x v="826"/>
    <s v="Payal Bhatt"/>
    <x v="1"/>
    <s v="System Analyst"/>
    <x v="1"/>
    <n v="42"/>
    <s v="Divorced"/>
    <s v="2019-03-11"/>
    <s v="2026-07-29"/>
    <x v="0"/>
    <x v="823"/>
    <n v="5"/>
    <x v="2"/>
    <x v="1"/>
    <n v="29"/>
    <n v="7.4"/>
    <s v="N/A"/>
  </r>
  <r>
    <x v="827"/>
    <s v="Sunil Sharma"/>
    <x v="5"/>
    <s v="Account Manager"/>
    <x v="0"/>
    <n v="31"/>
    <s v="Single"/>
    <s v="2024-07-26"/>
    <s v="2026-01-10"/>
    <x v="0"/>
    <x v="824"/>
    <n v="2"/>
    <x v="2"/>
    <x v="1"/>
    <n v="37"/>
    <n v="1.5"/>
    <s v="N/A"/>
  </r>
  <r>
    <x v="828"/>
    <s v="Rita Kapoor"/>
    <x v="0"/>
    <s v="Marketing Executive"/>
    <x v="1"/>
    <n v="56"/>
    <s v="Single"/>
    <s v="2025-02-03"/>
    <m/>
    <x v="1"/>
    <x v="825"/>
    <n v="1"/>
    <x v="3"/>
    <x v="0"/>
    <n v="12"/>
    <n v="1.5"/>
    <s v="Medium"/>
  </r>
  <r>
    <x v="829"/>
    <s v="Nikhil Reddy"/>
    <x v="4"/>
    <s v="Accountant"/>
    <x v="0"/>
    <n v="26"/>
    <s v="Divorced"/>
    <s v="2018-07-23"/>
    <m/>
    <x v="1"/>
    <x v="826"/>
    <n v="4"/>
    <x v="0"/>
    <x v="1"/>
    <n v="14"/>
    <n v="8"/>
    <s v="Medium"/>
  </r>
  <r>
    <x v="830"/>
    <s v="Sunil Singh"/>
    <x v="2"/>
    <s v="HR Manager"/>
    <x v="0"/>
    <n v="52"/>
    <s v="Married"/>
    <s v="2016-08-19"/>
    <s v="2025-11-11"/>
    <x v="0"/>
    <x v="827"/>
    <n v="5"/>
    <x v="1"/>
    <x v="0"/>
    <n v="3"/>
    <n v="9.1999999999999993"/>
    <s v="N/A"/>
  </r>
  <r>
    <x v="831"/>
    <s v="Meena Verma"/>
    <x v="2"/>
    <s v="HR Manager"/>
    <x v="1"/>
    <n v="35"/>
    <s v="Single"/>
    <s v="2024-09-25"/>
    <s v="2025-02-02"/>
    <x v="0"/>
    <x v="828"/>
    <n v="3"/>
    <x v="2"/>
    <x v="1"/>
    <n v="17"/>
    <n v="0.4"/>
    <s v="N/A"/>
  </r>
  <r>
    <x v="832"/>
    <s v="Deepak Kapoor"/>
    <x v="2"/>
    <s v="HR Manager"/>
    <x v="0"/>
    <n v="48"/>
    <s v="Married"/>
    <s v="2020-11-19"/>
    <m/>
    <x v="1"/>
    <x v="829"/>
    <n v="2"/>
    <x v="1"/>
    <x v="1"/>
    <n v="4"/>
    <n v="5.7"/>
    <s v="Medium"/>
  </r>
  <r>
    <x v="833"/>
    <s v="Ajay Malhotra"/>
    <x v="2"/>
    <s v="HR Executive"/>
    <x v="0"/>
    <n v="52"/>
    <s v="Divorced"/>
    <s v="2020-05-01"/>
    <m/>
    <x v="1"/>
    <x v="830"/>
    <n v="4"/>
    <x v="4"/>
    <x v="0"/>
    <n v="23"/>
    <n v="6.3"/>
    <s v="Medium"/>
  </r>
  <r>
    <x v="834"/>
    <s v="Vikram Chauhan"/>
    <x v="5"/>
    <s v="Account Manager"/>
    <x v="0"/>
    <n v="31"/>
    <s v="Married"/>
    <s v="2018-08-19"/>
    <m/>
    <x v="1"/>
    <x v="831"/>
    <n v="1"/>
    <x v="1"/>
    <x v="0"/>
    <n v="10"/>
    <n v="8"/>
    <s v="Low"/>
  </r>
  <r>
    <x v="835"/>
    <s v="Ravi Rao"/>
    <x v="4"/>
    <s v="Accountant"/>
    <x v="0"/>
    <n v="55"/>
    <s v="Divorced"/>
    <s v="2023-02-06"/>
    <m/>
    <x v="1"/>
    <x v="832"/>
    <n v="2"/>
    <x v="2"/>
    <x v="1"/>
    <n v="41"/>
    <n v="3.5"/>
    <s v="Medium"/>
  </r>
  <r>
    <x v="836"/>
    <s v="Karan Malhotra"/>
    <x v="5"/>
    <s v="Sales Executive"/>
    <x v="0"/>
    <n v="56"/>
    <s v="Single"/>
    <s v="2023-09-07"/>
    <m/>
    <x v="1"/>
    <x v="833"/>
    <n v="2"/>
    <x v="2"/>
    <x v="1"/>
    <n v="23"/>
    <n v="2.9"/>
    <s v="Medium"/>
  </r>
  <r>
    <x v="837"/>
    <s v="Sunita Sharma"/>
    <x v="3"/>
    <s v="Operations Executive"/>
    <x v="1"/>
    <n v="41"/>
    <s v="Married"/>
    <s v="2025-01-20"/>
    <s v="2025-09-17"/>
    <x v="0"/>
    <x v="834"/>
    <n v="4"/>
    <x v="3"/>
    <x v="1"/>
    <n v="42"/>
    <n v="0.7"/>
    <s v="N/A"/>
  </r>
  <r>
    <x v="838"/>
    <s v="Pooja Joshi"/>
    <x v="3"/>
    <s v="Operations Manager"/>
    <x v="1"/>
    <n v="51"/>
    <s v="Married"/>
    <s v="2019-10-21"/>
    <m/>
    <x v="1"/>
    <x v="835"/>
    <n v="5"/>
    <x v="0"/>
    <x v="0"/>
    <n v="11"/>
    <n v="6.8"/>
    <s v="Low"/>
  </r>
  <r>
    <x v="839"/>
    <s v="Anita Bhatt"/>
    <x v="0"/>
    <s v="Content Specialist"/>
    <x v="1"/>
    <n v="28"/>
    <s v="Divorced"/>
    <s v="2015-12-25"/>
    <m/>
    <x v="1"/>
    <x v="836"/>
    <n v="1"/>
    <x v="3"/>
    <x v="0"/>
    <n v="42"/>
    <n v="10.6"/>
    <s v="Medium"/>
  </r>
  <r>
    <x v="840"/>
    <s v="Vivek Pillai"/>
    <x v="5"/>
    <s v="Sales Manager"/>
    <x v="0"/>
    <n v="24"/>
    <s v="Married"/>
    <s v="2022-06-27"/>
    <m/>
    <x v="1"/>
    <x v="837"/>
    <n v="2"/>
    <x v="2"/>
    <x v="1"/>
    <n v="15"/>
    <n v="4.0999999999999996"/>
    <s v="Medium"/>
  </r>
  <r>
    <x v="841"/>
    <s v="Pooja Iyer"/>
    <x v="5"/>
    <s v="Sales Executive"/>
    <x v="1"/>
    <n v="51"/>
    <s v="Single"/>
    <s v="2019-08-19"/>
    <m/>
    <x v="1"/>
    <x v="838"/>
    <n v="1"/>
    <x v="2"/>
    <x v="0"/>
    <n v="24"/>
    <n v="7"/>
    <s v="Low"/>
  </r>
  <r>
    <x v="842"/>
    <s v="Anita Malhotra"/>
    <x v="2"/>
    <s v="Recruiter"/>
    <x v="1"/>
    <n v="37"/>
    <s v="Single"/>
    <s v="2015-01-18"/>
    <m/>
    <x v="1"/>
    <x v="839"/>
    <n v="1"/>
    <x v="2"/>
    <x v="0"/>
    <n v="1"/>
    <n v="11.6"/>
    <s v="Low"/>
  </r>
  <r>
    <x v="843"/>
    <s v="Rekha Joshi"/>
    <x v="3"/>
    <s v="Logistics Coordinator"/>
    <x v="1"/>
    <n v="58"/>
    <s v="Married"/>
    <s v="2019-10-28"/>
    <m/>
    <x v="1"/>
    <x v="840"/>
    <n v="2"/>
    <x v="2"/>
    <x v="1"/>
    <n v="40"/>
    <n v="6.8"/>
    <s v="Medium"/>
  </r>
  <r>
    <x v="844"/>
    <s v="Nikhil Joshi"/>
    <x v="3"/>
    <s v="Operations Manager"/>
    <x v="0"/>
    <n v="47"/>
    <s v="Divorced"/>
    <s v="2025-02-20"/>
    <m/>
    <x v="1"/>
    <x v="841"/>
    <n v="4"/>
    <x v="4"/>
    <x v="1"/>
    <n v="15"/>
    <n v="1.5"/>
    <s v="High"/>
  </r>
  <r>
    <x v="845"/>
    <s v="Shweta Bose"/>
    <x v="3"/>
    <s v="Operations Executive"/>
    <x v="1"/>
    <n v="32"/>
    <s v="Divorced"/>
    <s v="2018-08-13"/>
    <m/>
    <x v="1"/>
    <x v="842"/>
    <n v="1"/>
    <x v="3"/>
    <x v="1"/>
    <n v="28"/>
    <n v="8"/>
    <s v="High"/>
  </r>
  <r>
    <x v="846"/>
    <s v="Prakash Chopra"/>
    <x v="1"/>
    <s v="Software Engineer"/>
    <x v="0"/>
    <n v="23"/>
    <s v="Divorced"/>
    <s v="2023-04-29"/>
    <m/>
    <x v="1"/>
    <x v="843"/>
    <n v="3"/>
    <x v="2"/>
    <x v="0"/>
    <n v="12"/>
    <n v="3.3"/>
    <s v="Low"/>
  </r>
  <r>
    <x v="847"/>
    <s v="Nikhil Rao"/>
    <x v="2"/>
    <s v="HR Executive"/>
    <x v="0"/>
    <n v="25"/>
    <s v="Single"/>
    <s v="2018-01-31"/>
    <s v="2024-12-05"/>
    <x v="0"/>
    <x v="844"/>
    <n v="1"/>
    <x v="4"/>
    <x v="1"/>
    <n v="41"/>
    <n v="6.8"/>
    <s v="N/A"/>
  </r>
  <r>
    <x v="848"/>
    <s v="Deepak Rao"/>
    <x v="5"/>
    <s v="Sales Executive"/>
    <x v="0"/>
    <n v="33"/>
    <s v="Married"/>
    <s v="2016-01-16"/>
    <m/>
    <x v="1"/>
    <x v="845"/>
    <n v="2"/>
    <x v="1"/>
    <x v="1"/>
    <n v="26"/>
    <n v="10.6"/>
    <s v="Medium"/>
  </r>
  <r>
    <x v="849"/>
    <s v="Anjali Gupta"/>
    <x v="4"/>
    <s v="Financial Analyst"/>
    <x v="1"/>
    <n v="48"/>
    <s v="Single"/>
    <s v="2019-03-18"/>
    <m/>
    <x v="1"/>
    <x v="846"/>
    <n v="2"/>
    <x v="2"/>
    <x v="0"/>
    <n v="12"/>
    <n v="7.4"/>
    <s v="Low"/>
  </r>
  <r>
    <x v="850"/>
    <s v="Suresh Reddy"/>
    <x v="0"/>
    <s v="Content Specialist"/>
    <x v="0"/>
    <n v="44"/>
    <s v="Divorced"/>
    <s v="2020-06-05"/>
    <m/>
    <x v="1"/>
    <x v="847"/>
    <n v="5"/>
    <x v="0"/>
    <x v="0"/>
    <n v="1"/>
    <n v="6.2"/>
    <s v="Low"/>
  </r>
  <r>
    <x v="851"/>
    <s v="Sunil Sharma"/>
    <x v="5"/>
    <s v="Sales Executive"/>
    <x v="0"/>
    <n v="55"/>
    <s v="Single"/>
    <s v="2020-09-27"/>
    <s v="2022-06-16"/>
    <x v="0"/>
    <x v="848"/>
    <n v="3"/>
    <x v="4"/>
    <x v="0"/>
    <n v="8"/>
    <n v="1.7"/>
    <s v="N/A"/>
  </r>
  <r>
    <x v="852"/>
    <s v="Manoj Rao"/>
    <x v="1"/>
    <s v="Software Engineer"/>
    <x v="0"/>
    <n v="52"/>
    <s v="Married"/>
    <s v="2017-03-27"/>
    <m/>
    <x v="1"/>
    <x v="849"/>
    <n v="5"/>
    <x v="1"/>
    <x v="0"/>
    <n v="42"/>
    <n v="9.4"/>
    <s v="Low"/>
  </r>
  <r>
    <x v="853"/>
    <s v="Meena Rao"/>
    <x v="4"/>
    <s v="Accountant"/>
    <x v="1"/>
    <n v="33"/>
    <s v="Divorced"/>
    <s v="2017-03-21"/>
    <m/>
    <x v="1"/>
    <x v="850"/>
    <n v="4"/>
    <x v="1"/>
    <x v="0"/>
    <n v="7"/>
    <n v="9.4"/>
    <s v="Low"/>
  </r>
  <r>
    <x v="854"/>
    <s v="Nisha Kapoor"/>
    <x v="1"/>
    <s v="IT Support"/>
    <x v="1"/>
    <n v="49"/>
    <s v="Married"/>
    <s v="2021-09-08"/>
    <m/>
    <x v="1"/>
    <x v="851"/>
    <n v="5"/>
    <x v="1"/>
    <x v="0"/>
    <n v="7"/>
    <n v="4.9000000000000004"/>
    <s v="Low"/>
  </r>
  <r>
    <x v="855"/>
    <s v="Anjali Kapoor"/>
    <x v="3"/>
    <s v="Operations Manager"/>
    <x v="1"/>
    <n v="32"/>
    <s v="Married"/>
    <s v="2024-12-22"/>
    <m/>
    <x v="1"/>
    <x v="852"/>
    <n v="3"/>
    <x v="0"/>
    <x v="1"/>
    <n v="38"/>
    <n v="1.6"/>
    <s v="Medium"/>
  </r>
  <r>
    <x v="856"/>
    <s v="Swati Sharma"/>
    <x v="0"/>
    <s v="Content Specialist"/>
    <x v="1"/>
    <n v="29"/>
    <s v="Single"/>
    <s v="2017-01-06"/>
    <m/>
    <x v="1"/>
    <x v="853"/>
    <n v="2"/>
    <x v="2"/>
    <x v="0"/>
    <n v="23"/>
    <n v="9.6"/>
    <s v="Low"/>
  </r>
  <r>
    <x v="857"/>
    <s v="Anil Kumar"/>
    <x v="2"/>
    <s v="HR Manager"/>
    <x v="0"/>
    <n v="22"/>
    <s v="Married"/>
    <s v="2018-07-28"/>
    <m/>
    <x v="1"/>
    <x v="854"/>
    <n v="2"/>
    <x v="1"/>
    <x v="0"/>
    <n v="30"/>
    <n v="8"/>
    <s v="Low"/>
  </r>
  <r>
    <x v="858"/>
    <s v="Anita Bhatt"/>
    <x v="3"/>
    <s v="Operations Executive"/>
    <x v="1"/>
    <n v="35"/>
    <s v="Divorced"/>
    <s v="2020-11-29"/>
    <s v="2026-01-30"/>
    <x v="0"/>
    <x v="855"/>
    <n v="3"/>
    <x v="0"/>
    <x v="1"/>
    <n v="39"/>
    <n v="5.2"/>
    <s v="N/A"/>
  </r>
  <r>
    <x v="859"/>
    <s v="Rekha Reddy"/>
    <x v="0"/>
    <s v="Marketing Manager"/>
    <x v="1"/>
    <n v="34"/>
    <s v="Married"/>
    <s v="2017-03-18"/>
    <s v="2022-06-14"/>
    <x v="0"/>
    <x v="856"/>
    <n v="4"/>
    <x v="2"/>
    <x v="1"/>
    <n v="3"/>
    <n v="5.2"/>
    <s v="N/A"/>
  </r>
  <r>
    <x v="860"/>
    <s v="Seema Chopra"/>
    <x v="1"/>
    <s v="IT Support"/>
    <x v="1"/>
    <n v="37"/>
    <s v="Married"/>
    <s v="2021-06-18"/>
    <s v="2026-05-06"/>
    <x v="0"/>
    <x v="857"/>
    <n v="5"/>
    <x v="3"/>
    <x v="1"/>
    <n v="1"/>
    <n v="4.9000000000000004"/>
    <s v="N/A"/>
  </r>
  <r>
    <x v="861"/>
    <s v="Anil Sharma"/>
    <x v="4"/>
    <s v="Financial Analyst"/>
    <x v="0"/>
    <n v="26"/>
    <s v="Married"/>
    <s v="2020-04-08"/>
    <m/>
    <x v="1"/>
    <x v="858"/>
    <n v="3"/>
    <x v="2"/>
    <x v="1"/>
    <n v="18"/>
    <n v="6.3"/>
    <s v="Medium"/>
  </r>
  <r>
    <x v="862"/>
    <s v="Nidhi Verma"/>
    <x v="3"/>
    <s v="Operations Manager"/>
    <x v="1"/>
    <n v="47"/>
    <s v="Single"/>
    <s v="2018-05-07"/>
    <m/>
    <x v="1"/>
    <x v="859"/>
    <n v="4"/>
    <x v="2"/>
    <x v="0"/>
    <n v="42"/>
    <n v="8.3000000000000007"/>
    <s v="Low"/>
  </r>
  <r>
    <x v="863"/>
    <s v="Sanjay Verma"/>
    <x v="3"/>
    <s v="Operations Executive"/>
    <x v="0"/>
    <n v="22"/>
    <s v="Single"/>
    <s v="2016-07-22"/>
    <s v="2025-10-30"/>
    <x v="0"/>
    <x v="860"/>
    <n v="4"/>
    <x v="1"/>
    <x v="1"/>
    <n v="15"/>
    <n v="9.3000000000000007"/>
    <s v="N/A"/>
  </r>
  <r>
    <x v="864"/>
    <s v="Amit Rao"/>
    <x v="2"/>
    <s v="Recruiter"/>
    <x v="0"/>
    <n v="24"/>
    <s v="Divorced"/>
    <s v="2016-03-29"/>
    <m/>
    <x v="1"/>
    <x v="861"/>
    <n v="1"/>
    <x v="1"/>
    <x v="1"/>
    <n v="17"/>
    <n v="10.4"/>
    <s v="Medium"/>
  </r>
  <r>
    <x v="865"/>
    <s v="Arjun Chauhan"/>
    <x v="4"/>
    <s v="Accountant"/>
    <x v="0"/>
    <n v="51"/>
    <s v="Married"/>
    <s v="2016-05-06"/>
    <m/>
    <x v="1"/>
    <x v="862"/>
    <n v="5"/>
    <x v="4"/>
    <x v="1"/>
    <n v="27"/>
    <n v="10.3"/>
    <s v="High"/>
  </r>
  <r>
    <x v="866"/>
    <s v="Prakash Das"/>
    <x v="3"/>
    <s v="Logistics Coordinator"/>
    <x v="0"/>
    <n v="53"/>
    <s v="Married"/>
    <s v="2018-02-23"/>
    <m/>
    <x v="1"/>
    <x v="863"/>
    <n v="2"/>
    <x v="2"/>
    <x v="1"/>
    <n v="6"/>
    <n v="8.5"/>
    <s v="Medium"/>
  </r>
  <r>
    <x v="867"/>
    <s v="Karan Patel"/>
    <x v="2"/>
    <s v="Recruiter"/>
    <x v="0"/>
    <n v="26"/>
    <s v="Married"/>
    <s v="2020-07-18"/>
    <s v="2021-11-18"/>
    <x v="0"/>
    <x v="864"/>
    <n v="2"/>
    <x v="3"/>
    <x v="1"/>
    <n v="30"/>
    <n v="1.3"/>
    <s v="N/A"/>
  </r>
  <r>
    <x v="868"/>
    <s v="Anita Kapoor"/>
    <x v="2"/>
    <s v="HR Executive"/>
    <x v="1"/>
    <n v="31"/>
    <s v="Married"/>
    <s v="2024-07-04"/>
    <m/>
    <x v="1"/>
    <x v="865"/>
    <n v="2"/>
    <x v="4"/>
    <x v="0"/>
    <n v="24"/>
    <n v="2.1"/>
    <s v="Medium"/>
  </r>
  <r>
    <x v="869"/>
    <s v="Meena Patel"/>
    <x v="3"/>
    <s v="Operations Executive"/>
    <x v="1"/>
    <n v="39"/>
    <s v="Single"/>
    <s v="2019-09-29"/>
    <m/>
    <x v="1"/>
    <x v="866"/>
    <n v="5"/>
    <x v="1"/>
    <x v="1"/>
    <n v="42"/>
    <n v="6.9"/>
    <s v="Medium"/>
  </r>
  <r>
    <x v="870"/>
    <s v="Sanjay Sharma"/>
    <x v="5"/>
    <s v="Account Manager"/>
    <x v="0"/>
    <n v="51"/>
    <s v="Married"/>
    <s v="2017-02-05"/>
    <s v="2023-06-08"/>
    <x v="0"/>
    <x v="867"/>
    <n v="5"/>
    <x v="2"/>
    <x v="1"/>
    <n v="29"/>
    <n v="6.3"/>
    <s v="N/A"/>
  </r>
  <r>
    <x v="871"/>
    <s v="Meena Singh"/>
    <x v="5"/>
    <s v="Sales Manager"/>
    <x v="1"/>
    <n v="47"/>
    <s v="Married"/>
    <s v="2020-08-18"/>
    <s v="2025-01-30"/>
    <x v="0"/>
    <x v="868"/>
    <n v="1"/>
    <x v="1"/>
    <x v="0"/>
    <n v="29"/>
    <n v="4.5"/>
    <s v="N/A"/>
  </r>
  <r>
    <x v="872"/>
    <s v="Deepak Gupta"/>
    <x v="0"/>
    <s v="Marketing Manager"/>
    <x v="0"/>
    <n v="47"/>
    <s v="Married"/>
    <s v="2016-12-24"/>
    <s v="2017-09-14"/>
    <x v="0"/>
    <x v="869"/>
    <n v="5"/>
    <x v="0"/>
    <x v="0"/>
    <n v="32"/>
    <n v="0.7"/>
    <s v="N/A"/>
  </r>
  <r>
    <x v="873"/>
    <s v="Sanjay Kumar"/>
    <x v="0"/>
    <s v="Marketing Executive"/>
    <x v="0"/>
    <n v="25"/>
    <s v="Single"/>
    <s v="2025-01-14"/>
    <s v="2026-06-09"/>
    <x v="0"/>
    <x v="870"/>
    <n v="2"/>
    <x v="1"/>
    <x v="1"/>
    <n v="5"/>
    <n v="1.4"/>
    <s v="N/A"/>
  </r>
  <r>
    <x v="874"/>
    <s v="Swati Chopra"/>
    <x v="3"/>
    <s v="Logistics Coordinator"/>
    <x v="1"/>
    <n v="28"/>
    <s v="Single"/>
    <s v="2017-06-19"/>
    <m/>
    <x v="1"/>
    <x v="871"/>
    <n v="4"/>
    <x v="1"/>
    <x v="0"/>
    <n v="14"/>
    <n v="9.1"/>
    <s v="Low"/>
  </r>
  <r>
    <x v="875"/>
    <s v="Priya Kumar"/>
    <x v="2"/>
    <s v="Recruiter"/>
    <x v="1"/>
    <n v="33"/>
    <s v="Divorced"/>
    <s v="2020-08-23"/>
    <m/>
    <x v="1"/>
    <x v="872"/>
    <n v="4"/>
    <x v="0"/>
    <x v="0"/>
    <n v="20"/>
    <n v="6"/>
    <s v="Low"/>
  </r>
  <r>
    <x v="876"/>
    <s v="Rohan Joshi"/>
    <x v="2"/>
    <s v="Recruiter"/>
    <x v="0"/>
    <n v="43"/>
    <s v="Single"/>
    <s v="2025-02-02"/>
    <s v="2025-08-16"/>
    <x v="0"/>
    <x v="873"/>
    <n v="4"/>
    <x v="3"/>
    <x v="0"/>
    <n v="28"/>
    <n v="0.5"/>
    <s v="N/A"/>
  </r>
  <r>
    <x v="877"/>
    <s v="Ashok Iyer"/>
    <x v="5"/>
    <s v="Sales Executive"/>
    <x v="0"/>
    <n v="52"/>
    <s v="Single"/>
    <s v="2021-07-16"/>
    <m/>
    <x v="1"/>
    <x v="874"/>
    <n v="4"/>
    <x v="4"/>
    <x v="1"/>
    <n v="8"/>
    <n v="5.0999999999999996"/>
    <s v="High"/>
  </r>
  <r>
    <x v="878"/>
    <s v="Arjun Kumar"/>
    <x v="2"/>
    <s v="HR Executive"/>
    <x v="0"/>
    <n v="28"/>
    <s v="Married"/>
    <s v="2018-06-01"/>
    <m/>
    <x v="1"/>
    <x v="875"/>
    <n v="4"/>
    <x v="1"/>
    <x v="0"/>
    <n v="32"/>
    <n v="8.1999999999999993"/>
    <s v="Low"/>
  </r>
  <r>
    <x v="879"/>
    <s v="Shweta Iyer"/>
    <x v="2"/>
    <s v="Recruiter"/>
    <x v="1"/>
    <n v="51"/>
    <s v="Divorced"/>
    <s v="2015-02-25"/>
    <m/>
    <x v="1"/>
    <x v="876"/>
    <n v="3"/>
    <x v="1"/>
    <x v="0"/>
    <n v="34"/>
    <n v="11.5"/>
    <s v="Low"/>
  </r>
  <r>
    <x v="880"/>
    <s v="Manoj Pillai"/>
    <x v="3"/>
    <s v="Operations Manager"/>
    <x v="0"/>
    <n v="23"/>
    <s v="Single"/>
    <s v="2016-08-28"/>
    <s v="2025-02-17"/>
    <x v="0"/>
    <x v="877"/>
    <n v="2"/>
    <x v="4"/>
    <x v="0"/>
    <n v="23"/>
    <n v="8.5"/>
    <s v="N/A"/>
  </r>
  <r>
    <x v="881"/>
    <s v="Meena Patel"/>
    <x v="0"/>
    <s v="Marketing Manager"/>
    <x v="1"/>
    <n v="34"/>
    <s v="Divorced"/>
    <s v="2025-04-28"/>
    <m/>
    <x v="1"/>
    <x v="878"/>
    <n v="3"/>
    <x v="3"/>
    <x v="0"/>
    <n v="41"/>
    <n v="1.3"/>
    <s v="Medium"/>
  </r>
  <r>
    <x v="882"/>
    <s v="Manoj Iyer"/>
    <x v="4"/>
    <s v="Finance Manager"/>
    <x v="0"/>
    <n v="43"/>
    <s v="Divorced"/>
    <s v="2019-05-21"/>
    <m/>
    <x v="1"/>
    <x v="879"/>
    <n v="3"/>
    <x v="1"/>
    <x v="0"/>
    <n v="13"/>
    <n v="7.2"/>
    <s v="Low"/>
  </r>
  <r>
    <x v="883"/>
    <s v="Ravi Kapoor"/>
    <x v="2"/>
    <s v="Recruiter"/>
    <x v="0"/>
    <n v="58"/>
    <s v="Divorced"/>
    <s v="2023-11-21"/>
    <s v="2025-12-17"/>
    <x v="0"/>
    <x v="880"/>
    <n v="1"/>
    <x v="1"/>
    <x v="0"/>
    <n v="1"/>
    <n v="2.1"/>
    <s v="N/A"/>
  </r>
  <r>
    <x v="884"/>
    <s v="Nidhi Bose"/>
    <x v="1"/>
    <s v="IT Support"/>
    <x v="1"/>
    <n v="32"/>
    <s v="Single"/>
    <s v="2018-05-28"/>
    <s v="2025-03-21"/>
    <x v="0"/>
    <x v="881"/>
    <n v="3"/>
    <x v="3"/>
    <x v="0"/>
    <n v="1"/>
    <n v="6.8"/>
    <s v="N/A"/>
  </r>
  <r>
    <x v="885"/>
    <s v="Anita Sharma"/>
    <x v="5"/>
    <s v="Sales Executive"/>
    <x v="1"/>
    <n v="49"/>
    <s v="Married"/>
    <s v="2018-12-13"/>
    <m/>
    <x v="1"/>
    <x v="882"/>
    <n v="1"/>
    <x v="3"/>
    <x v="0"/>
    <n v="17"/>
    <n v="7.7"/>
    <s v="Medium"/>
  </r>
  <r>
    <x v="886"/>
    <s v="Vikram Rao"/>
    <x v="3"/>
    <s v="Logistics Coordinator"/>
    <x v="0"/>
    <n v="31"/>
    <s v="Single"/>
    <s v="2023-03-22"/>
    <m/>
    <x v="1"/>
    <x v="883"/>
    <n v="1"/>
    <x v="0"/>
    <x v="1"/>
    <n v="19"/>
    <n v="3.4"/>
    <s v="Medium"/>
  </r>
  <r>
    <x v="887"/>
    <s v="Nisha Chopra"/>
    <x v="2"/>
    <s v="HR Executive"/>
    <x v="1"/>
    <n v="28"/>
    <s v="Divorced"/>
    <s v="2025-01-05"/>
    <m/>
    <x v="1"/>
    <x v="884"/>
    <n v="5"/>
    <x v="1"/>
    <x v="1"/>
    <n v="20"/>
    <n v="1.6"/>
    <s v="Medium"/>
  </r>
  <r>
    <x v="888"/>
    <s v="Karan Rao"/>
    <x v="2"/>
    <s v="Recruiter"/>
    <x v="0"/>
    <n v="30"/>
    <s v="Divorced"/>
    <s v="2019-09-02"/>
    <m/>
    <x v="1"/>
    <x v="885"/>
    <n v="3"/>
    <x v="1"/>
    <x v="0"/>
    <n v="6"/>
    <n v="6.9"/>
    <s v="Low"/>
  </r>
  <r>
    <x v="889"/>
    <s v="Nikhil Malhotra"/>
    <x v="4"/>
    <s v="Finance Manager"/>
    <x v="0"/>
    <n v="28"/>
    <s v="Married"/>
    <s v="2016-07-21"/>
    <m/>
    <x v="1"/>
    <x v="886"/>
    <n v="5"/>
    <x v="1"/>
    <x v="0"/>
    <n v="44"/>
    <n v="10.1"/>
    <s v="Low"/>
  </r>
  <r>
    <x v="890"/>
    <s v="Nisha Kapoor"/>
    <x v="4"/>
    <s v="Accountant"/>
    <x v="1"/>
    <n v="23"/>
    <s v="Married"/>
    <s v="2025-03-26"/>
    <m/>
    <x v="1"/>
    <x v="887"/>
    <n v="1"/>
    <x v="2"/>
    <x v="0"/>
    <n v="9"/>
    <n v="1.4"/>
    <s v="Low"/>
  </r>
  <r>
    <x v="891"/>
    <s v="Sneha Bhatt"/>
    <x v="3"/>
    <s v="Logistics Coordinator"/>
    <x v="1"/>
    <n v="56"/>
    <s v="Married"/>
    <s v="2025-02-03"/>
    <m/>
    <x v="1"/>
    <x v="888"/>
    <n v="1"/>
    <x v="1"/>
    <x v="0"/>
    <n v="26"/>
    <n v="1.5"/>
    <s v="Low"/>
  </r>
  <r>
    <x v="892"/>
    <s v="Neha Patel"/>
    <x v="4"/>
    <s v="Finance Manager"/>
    <x v="1"/>
    <n v="25"/>
    <s v="Married"/>
    <s v="2018-01-11"/>
    <m/>
    <x v="1"/>
    <x v="889"/>
    <n v="3"/>
    <x v="3"/>
    <x v="0"/>
    <n v="39"/>
    <n v="8.6"/>
    <s v="Medium"/>
  </r>
  <r>
    <x v="893"/>
    <s v="Suresh Chauhan"/>
    <x v="0"/>
    <s v="Marketing Manager"/>
    <x v="0"/>
    <n v="54"/>
    <s v="Divorced"/>
    <s v="2023-04-17"/>
    <m/>
    <x v="1"/>
    <x v="890"/>
    <n v="5"/>
    <x v="4"/>
    <x v="0"/>
    <n v="10"/>
    <n v="3.3"/>
    <s v="Medium"/>
  </r>
  <r>
    <x v="894"/>
    <s v="Deepak Nair"/>
    <x v="1"/>
    <s v="Software Engineer"/>
    <x v="0"/>
    <n v="22"/>
    <s v="Single"/>
    <s v="2024-01-13"/>
    <m/>
    <x v="1"/>
    <x v="891"/>
    <n v="1"/>
    <x v="4"/>
    <x v="0"/>
    <n v="5"/>
    <n v="2.6"/>
    <s v="Medium"/>
  </r>
  <r>
    <x v="895"/>
    <s v="Sanjay Gupta"/>
    <x v="5"/>
    <s v="Account Manager"/>
    <x v="0"/>
    <n v="28"/>
    <s v="Single"/>
    <s v="2020-04-24"/>
    <s v="2025-11-25"/>
    <x v="0"/>
    <x v="892"/>
    <n v="4"/>
    <x v="0"/>
    <x v="1"/>
    <n v="26"/>
    <n v="5.6"/>
    <s v="N/A"/>
  </r>
  <r>
    <x v="896"/>
    <s v="Nidhi Kapoor"/>
    <x v="1"/>
    <s v="Software Engineer"/>
    <x v="1"/>
    <n v="29"/>
    <s v="Divorced"/>
    <s v="2019-11-06"/>
    <m/>
    <x v="1"/>
    <x v="893"/>
    <n v="2"/>
    <x v="3"/>
    <x v="1"/>
    <n v="10"/>
    <n v="6.8"/>
    <s v="High"/>
  </r>
  <r>
    <x v="897"/>
    <s v="Gaurav Das"/>
    <x v="1"/>
    <s v="IT Support"/>
    <x v="0"/>
    <n v="40"/>
    <s v="Married"/>
    <s v="2018-03-31"/>
    <m/>
    <x v="1"/>
    <x v="894"/>
    <n v="4"/>
    <x v="0"/>
    <x v="0"/>
    <n v="24"/>
    <n v="8.4"/>
    <s v="Low"/>
  </r>
  <r>
    <x v="898"/>
    <s v="Nisha Malhotra"/>
    <x v="0"/>
    <s v="Marketing Executive"/>
    <x v="1"/>
    <n v="31"/>
    <s v="Divorced"/>
    <s v="2015-04-25"/>
    <s v="2022-09-17"/>
    <x v="0"/>
    <x v="895"/>
    <n v="5"/>
    <x v="3"/>
    <x v="1"/>
    <n v="25"/>
    <n v="7.4"/>
    <s v="N/A"/>
  </r>
  <r>
    <x v="899"/>
    <s v="Neha Iyer"/>
    <x v="0"/>
    <s v="Content Specialist"/>
    <x v="1"/>
    <n v="30"/>
    <s v="Married"/>
    <s v="2020-03-31"/>
    <m/>
    <x v="1"/>
    <x v="896"/>
    <n v="3"/>
    <x v="2"/>
    <x v="0"/>
    <n v="1"/>
    <n v="6.4"/>
    <s v="Low"/>
  </r>
  <r>
    <x v="900"/>
    <s v="Payal Chopra"/>
    <x v="3"/>
    <s v="Operations Executive"/>
    <x v="1"/>
    <n v="54"/>
    <s v="Divorced"/>
    <s v="2015-09-15"/>
    <s v="2023-11-21"/>
    <x v="0"/>
    <x v="897"/>
    <n v="3"/>
    <x v="4"/>
    <x v="1"/>
    <n v="42"/>
    <n v="8.1999999999999993"/>
    <s v="N/A"/>
  </r>
  <r>
    <x v="901"/>
    <s v="Swati Patel"/>
    <x v="1"/>
    <s v="System Analyst"/>
    <x v="1"/>
    <n v="52"/>
    <s v="Divorced"/>
    <s v="2019-03-23"/>
    <m/>
    <x v="1"/>
    <x v="898"/>
    <n v="2"/>
    <x v="0"/>
    <x v="0"/>
    <n v="37"/>
    <n v="7.4"/>
    <s v="Low"/>
  </r>
  <r>
    <x v="902"/>
    <s v="Anil Chauhan"/>
    <x v="3"/>
    <s v="Operations Manager"/>
    <x v="0"/>
    <n v="44"/>
    <s v="Divorced"/>
    <s v="2021-07-22"/>
    <s v="2022-04-05"/>
    <x v="0"/>
    <x v="899"/>
    <n v="1"/>
    <x v="2"/>
    <x v="0"/>
    <n v="3"/>
    <n v="0.7"/>
    <s v="N/A"/>
  </r>
  <r>
    <x v="903"/>
    <s v="Komal Reddy"/>
    <x v="0"/>
    <s v="Marketing Executive"/>
    <x v="1"/>
    <n v="36"/>
    <s v="Married"/>
    <s v="2023-08-28"/>
    <m/>
    <x v="1"/>
    <x v="900"/>
    <n v="1"/>
    <x v="4"/>
    <x v="0"/>
    <n v="12"/>
    <n v="2.9"/>
    <s v="Medium"/>
  </r>
  <r>
    <x v="904"/>
    <s v="Ashok Rao"/>
    <x v="4"/>
    <s v="Financial Analyst"/>
    <x v="0"/>
    <n v="29"/>
    <s v="Divorced"/>
    <s v="2015-06-03"/>
    <m/>
    <x v="1"/>
    <x v="901"/>
    <n v="4"/>
    <x v="3"/>
    <x v="0"/>
    <n v="24"/>
    <n v="11.2"/>
    <s v="Medium"/>
  </r>
  <r>
    <x v="905"/>
    <s v="Vivek Chopra"/>
    <x v="1"/>
    <s v="System Analyst"/>
    <x v="0"/>
    <n v="30"/>
    <s v="Married"/>
    <s v="2022-02-23"/>
    <m/>
    <x v="1"/>
    <x v="902"/>
    <n v="2"/>
    <x v="4"/>
    <x v="0"/>
    <n v="17"/>
    <n v="4.5"/>
    <s v="Medium"/>
  </r>
  <r>
    <x v="906"/>
    <s v="Ravi Pillai"/>
    <x v="1"/>
    <s v="Software Engineer"/>
    <x v="0"/>
    <n v="34"/>
    <s v="Single"/>
    <s v="2015-12-19"/>
    <m/>
    <x v="1"/>
    <x v="903"/>
    <n v="2"/>
    <x v="3"/>
    <x v="0"/>
    <n v="3"/>
    <n v="10.6"/>
    <s v="Medium"/>
  </r>
  <r>
    <x v="907"/>
    <s v="Anil Joshi"/>
    <x v="2"/>
    <s v="HR Manager"/>
    <x v="0"/>
    <n v="55"/>
    <s v="Married"/>
    <s v="2020-07-25"/>
    <s v="2022-04-10"/>
    <x v="0"/>
    <x v="904"/>
    <n v="5"/>
    <x v="4"/>
    <x v="1"/>
    <n v="31"/>
    <n v="1.7"/>
    <s v="N/A"/>
  </r>
  <r>
    <x v="908"/>
    <s v="Swati Patel"/>
    <x v="5"/>
    <s v="Sales Manager"/>
    <x v="1"/>
    <n v="58"/>
    <s v="Married"/>
    <s v="2015-11-17"/>
    <s v="2022-10-14"/>
    <x v="0"/>
    <x v="905"/>
    <n v="3"/>
    <x v="0"/>
    <x v="1"/>
    <n v="7"/>
    <n v="6.9"/>
    <s v="N/A"/>
  </r>
  <r>
    <x v="909"/>
    <s v="Sanjay Nair"/>
    <x v="3"/>
    <s v="Operations Manager"/>
    <x v="0"/>
    <n v="38"/>
    <s v="Divorced"/>
    <s v="2019-05-19"/>
    <m/>
    <x v="1"/>
    <x v="906"/>
    <n v="2"/>
    <x v="3"/>
    <x v="0"/>
    <n v="19"/>
    <n v="7.2"/>
    <s v="Medium"/>
  </r>
  <r>
    <x v="910"/>
    <s v="Swati Bhatt"/>
    <x v="3"/>
    <s v="Logistics Coordinator"/>
    <x v="1"/>
    <n v="25"/>
    <s v="Married"/>
    <s v="2021-02-14"/>
    <m/>
    <x v="1"/>
    <x v="907"/>
    <n v="5"/>
    <x v="3"/>
    <x v="0"/>
    <n v="31"/>
    <n v="5.5"/>
    <s v="Medium"/>
  </r>
  <r>
    <x v="911"/>
    <s v="Shweta Gupta"/>
    <x v="5"/>
    <s v="Sales Manager"/>
    <x v="1"/>
    <n v="43"/>
    <s v="Divorced"/>
    <s v="2024-12-16"/>
    <s v="2025-04-18"/>
    <x v="0"/>
    <x v="908"/>
    <n v="2"/>
    <x v="4"/>
    <x v="0"/>
    <n v="36"/>
    <n v="0.3"/>
    <s v="N/A"/>
  </r>
  <r>
    <x v="912"/>
    <s v="Prakash Bhatt"/>
    <x v="1"/>
    <s v="System Analyst"/>
    <x v="0"/>
    <n v="24"/>
    <s v="Single"/>
    <s v="2018-11-17"/>
    <m/>
    <x v="1"/>
    <x v="909"/>
    <n v="5"/>
    <x v="2"/>
    <x v="0"/>
    <n v="40"/>
    <n v="7.7"/>
    <s v="Low"/>
  </r>
  <r>
    <x v="913"/>
    <s v="Neha Kumar"/>
    <x v="4"/>
    <s v="Financial Analyst"/>
    <x v="1"/>
    <n v="24"/>
    <s v="Single"/>
    <s v="2020-07-27"/>
    <s v="2021-05-09"/>
    <x v="0"/>
    <x v="910"/>
    <n v="4"/>
    <x v="1"/>
    <x v="0"/>
    <n v="31"/>
    <n v="0.8"/>
    <s v="N/A"/>
  </r>
  <r>
    <x v="914"/>
    <s v="Priya Bose"/>
    <x v="5"/>
    <s v="Sales Executive"/>
    <x v="1"/>
    <n v="52"/>
    <s v="Married"/>
    <s v="2015-08-02"/>
    <m/>
    <x v="1"/>
    <x v="911"/>
    <n v="2"/>
    <x v="2"/>
    <x v="0"/>
    <n v="28"/>
    <n v="11"/>
    <s v="Low"/>
  </r>
  <r>
    <x v="915"/>
    <s v="Ashok Iyer"/>
    <x v="5"/>
    <s v="Sales Manager"/>
    <x v="0"/>
    <n v="44"/>
    <s v="Divorced"/>
    <s v="2017-03-04"/>
    <s v="2021-12-19"/>
    <x v="0"/>
    <x v="912"/>
    <n v="2"/>
    <x v="3"/>
    <x v="1"/>
    <n v="15"/>
    <n v="4.8"/>
    <s v="N/A"/>
  </r>
  <r>
    <x v="916"/>
    <s v="Rahul Mehta"/>
    <x v="0"/>
    <s v="Content Specialist"/>
    <x v="0"/>
    <n v="25"/>
    <s v="Married"/>
    <s v="2015-11-10"/>
    <m/>
    <x v="1"/>
    <x v="913"/>
    <n v="2"/>
    <x v="2"/>
    <x v="1"/>
    <n v="19"/>
    <n v="10.7"/>
    <s v="Medium"/>
  </r>
  <r>
    <x v="917"/>
    <s v="Sneha Bhatt"/>
    <x v="0"/>
    <s v="Marketing Executive"/>
    <x v="1"/>
    <n v="47"/>
    <s v="Divorced"/>
    <s v="2020-05-14"/>
    <s v="2024-07-14"/>
    <x v="0"/>
    <x v="914"/>
    <n v="1"/>
    <x v="3"/>
    <x v="0"/>
    <n v="17"/>
    <n v="4.2"/>
    <s v="N/A"/>
  </r>
  <r>
    <x v="918"/>
    <s v="Sunita Bose"/>
    <x v="1"/>
    <s v="System Analyst"/>
    <x v="1"/>
    <n v="40"/>
    <s v="Divorced"/>
    <s v="2024-09-29"/>
    <m/>
    <x v="1"/>
    <x v="915"/>
    <n v="3"/>
    <x v="0"/>
    <x v="0"/>
    <n v="21"/>
    <n v="1.9"/>
    <s v="Low"/>
  </r>
  <r>
    <x v="919"/>
    <s v="Nidhi Das"/>
    <x v="5"/>
    <s v="Sales Manager"/>
    <x v="1"/>
    <n v="39"/>
    <s v="Divorced"/>
    <s v="2015-11-18"/>
    <m/>
    <x v="1"/>
    <x v="916"/>
    <n v="5"/>
    <x v="4"/>
    <x v="1"/>
    <n v="15"/>
    <n v="10.7"/>
    <s v="High"/>
  </r>
  <r>
    <x v="920"/>
    <s v="Amit Mehta"/>
    <x v="5"/>
    <s v="Sales Manager"/>
    <x v="0"/>
    <n v="50"/>
    <s v="Single"/>
    <s v="2022-04-16"/>
    <s v="2025-10-01"/>
    <x v="0"/>
    <x v="917"/>
    <n v="1"/>
    <x v="3"/>
    <x v="0"/>
    <n v="32"/>
    <n v="3.5"/>
    <s v="N/A"/>
  </r>
  <r>
    <x v="921"/>
    <s v="Amit Rao"/>
    <x v="4"/>
    <s v="Accountant"/>
    <x v="0"/>
    <n v="46"/>
    <s v="Single"/>
    <s v="2020-07-21"/>
    <s v="2022-10-14"/>
    <x v="0"/>
    <x v="918"/>
    <n v="4"/>
    <x v="2"/>
    <x v="1"/>
    <n v="29"/>
    <n v="2.2000000000000002"/>
    <s v="N/A"/>
  </r>
  <r>
    <x v="922"/>
    <s v="Deepak Verma"/>
    <x v="0"/>
    <s v="Marketing Manager"/>
    <x v="0"/>
    <n v="56"/>
    <s v="Married"/>
    <s v="2023-07-23"/>
    <m/>
    <x v="1"/>
    <x v="919"/>
    <n v="5"/>
    <x v="3"/>
    <x v="1"/>
    <n v="22"/>
    <n v="3"/>
    <s v="High"/>
  </r>
  <r>
    <x v="923"/>
    <s v="Anil Bhatt"/>
    <x v="3"/>
    <s v="Operations Executive"/>
    <x v="0"/>
    <n v="49"/>
    <s v="Divorced"/>
    <s v="2024-09-16"/>
    <m/>
    <x v="1"/>
    <x v="920"/>
    <n v="1"/>
    <x v="3"/>
    <x v="0"/>
    <n v="36"/>
    <n v="1.9"/>
    <s v="Medium"/>
  </r>
  <r>
    <x v="924"/>
    <s v="Nisha Chauhan"/>
    <x v="2"/>
    <s v="Recruiter"/>
    <x v="1"/>
    <n v="58"/>
    <s v="Single"/>
    <s v="2023-08-16"/>
    <s v="2023-11-15"/>
    <x v="0"/>
    <x v="921"/>
    <n v="4"/>
    <x v="4"/>
    <x v="0"/>
    <n v="30"/>
    <n v="0.2"/>
    <s v="N/A"/>
  </r>
  <r>
    <x v="925"/>
    <s v="Anjali Mehta"/>
    <x v="2"/>
    <s v="Recruiter"/>
    <x v="1"/>
    <n v="56"/>
    <s v="Married"/>
    <s v="2018-04-26"/>
    <s v="2021-04-16"/>
    <x v="0"/>
    <x v="922"/>
    <n v="1"/>
    <x v="2"/>
    <x v="1"/>
    <n v="40"/>
    <n v="3"/>
    <s v="N/A"/>
  </r>
  <r>
    <x v="926"/>
    <s v="Suresh Nair"/>
    <x v="0"/>
    <s v="Content Specialist"/>
    <x v="0"/>
    <n v="58"/>
    <s v="Single"/>
    <s v="2022-05-30"/>
    <m/>
    <x v="1"/>
    <x v="923"/>
    <n v="2"/>
    <x v="1"/>
    <x v="1"/>
    <n v="29"/>
    <n v="4.2"/>
    <s v="Medium"/>
  </r>
  <r>
    <x v="927"/>
    <s v="Komal Bose"/>
    <x v="4"/>
    <s v="Financial Analyst"/>
    <x v="1"/>
    <n v="35"/>
    <s v="Married"/>
    <s v="2019-08-01"/>
    <m/>
    <x v="1"/>
    <x v="924"/>
    <n v="3"/>
    <x v="3"/>
    <x v="1"/>
    <n v="40"/>
    <n v="7"/>
    <s v="High"/>
  </r>
  <r>
    <x v="928"/>
    <s v="Shweta Rao"/>
    <x v="4"/>
    <s v="Financial Analyst"/>
    <x v="1"/>
    <n v="53"/>
    <s v="Single"/>
    <s v="2016-06-05"/>
    <s v="2023-12-07"/>
    <x v="0"/>
    <x v="925"/>
    <n v="2"/>
    <x v="4"/>
    <x v="1"/>
    <n v="40"/>
    <n v="7.5"/>
    <s v="N/A"/>
  </r>
  <r>
    <x v="929"/>
    <s v="Seema Reddy"/>
    <x v="5"/>
    <s v="Sales Executive"/>
    <x v="1"/>
    <n v="24"/>
    <s v="Divorced"/>
    <s v="2021-03-16"/>
    <m/>
    <x v="1"/>
    <x v="926"/>
    <n v="3"/>
    <x v="3"/>
    <x v="0"/>
    <n v="17"/>
    <n v="5.4"/>
    <s v="Medium"/>
  </r>
  <r>
    <x v="930"/>
    <s v="Ashok Mehta"/>
    <x v="2"/>
    <s v="Recruiter"/>
    <x v="0"/>
    <n v="44"/>
    <s v="Single"/>
    <s v="2016-03-23"/>
    <s v="2022-10-14"/>
    <x v="0"/>
    <x v="927"/>
    <n v="1"/>
    <x v="2"/>
    <x v="1"/>
    <n v="33"/>
    <n v="6.6"/>
    <s v="N/A"/>
  </r>
  <r>
    <x v="931"/>
    <s v="Anjali Malhotra"/>
    <x v="2"/>
    <s v="Recruiter"/>
    <x v="1"/>
    <n v="40"/>
    <s v="Divorced"/>
    <s v="2016-08-09"/>
    <m/>
    <x v="1"/>
    <x v="928"/>
    <n v="3"/>
    <x v="0"/>
    <x v="1"/>
    <n v="22"/>
    <n v="10"/>
    <s v="Medium"/>
  </r>
  <r>
    <x v="932"/>
    <s v="Rohan Iyer"/>
    <x v="2"/>
    <s v="Recruiter"/>
    <x v="0"/>
    <n v="24"/>
    <s v="Single"/>
    <s v="2018-04-06"/>
    <m/>
    <x v="1"/>
    <x v="929"/>
    <n v="1"/>
    <x v="0"/>
    <x v="0"/>
    <n v="7"/>
    <n v="8.3000000000000007"/>
    <s v="Low"/>
  </r>
  <r>
    <x v="933"/>
    <s v="Meena Chopra"/>
    <x v="3"/>
    <s v="Logistics Coordinator"/>
    <x v="1"/>
    <n v="24"/>
    <s v="Single"/>
    <s v="2022-05-15"/>
    <m/>
    <x v="1"/>
    <x v="930"/>
    <n v="1"/>
    <x v="2"/>
    <x v="0"/>
    <n v="5"/>
    <n v="4.2"/>
    <s v="Low"/>
  </r>
  <r>
    <x v="934"/>
    <s v="Ritu Kumar"/>
    <x v="3"/>
    <s v="Logistics Coordinator"/>
    <x v="1"/>
    <n v="55"/>
    <s v="Married"/>
    <s v="2023-12-14"/>
    <s v="2026-06-17"/>
    <x v="0"/>
    <x v="931"/>
    <n v="5"/>
    <x v="2"/>
    <x v="1"/>
    <n v="34"/>
    <n v="2.5"/>
    <s v="N/A"/>
  </r>
  <r>
    <x v="935"/>
    <s v="Anil Mehta"/>
    <x v="3"/>
    <s v="Operations Manager"/>
    <x v="0"/>
    <n v="45"/>
    <s v="Married"/>
    <s v="2017-08-03"/>
    <m/>
    <x v="1"/>
    <x v="932"/>
    <n v="2"/>
    <x v="3"/>
    <x v="0"/>
    <n v="29"/>
    <n v="9"/>
    <s v="Medium"/>
  </r>
  <r>
    <x v="936"/>
    <s v="Ajay Das"/>
    <x v="2"/>
    <s v="Recruiter"/>
    <x v="0"/>
    <n v="36"/>
    <s v="Divorced"/>
    <s v="2020-01-13"/>
    <s v="2024-10-07"/>
    <x v="0"/>
    <x v="933"/>
    <n v="5"/>
    <x v="4"/>
    <x v="0"/>
    <n v="9"/>
    <n v="4.7"/>
    <s v="N/A"/>
  </r>
  <r>
    <x v="937"/>
    <s v="Ashok Rao"/>
    <x v="0"/>
    <s v="Content Specialist"/>
    <x v="0"/>
    <n v="40"/>
    <s v="Single"/>
    <s v="2018-10-31"/>
    <m/>
    <x v="1"/>
    <x v="934"/>
    <n v="4"/>
    <x v="3"/>
    <x v="1"/>
    <n v="27"/>
    <n v="7.8"/>
    <s v="High"/>
  </r>
  <r>
    <x v="938"/>
    <s v="Vivek Sharma"/>
    <x v="0"/>
    <s v="Marketing Executive"/>
    <x v="0"/>
    <n v="32"/>
    <s v="Single"/>
    <s v="2016-05-09"/>
    <m/>
    <x v="1"/>
    <x v="935"/>
    <n v="4"/>
    <x v="0"/>
    <x v="0"/>
    <n v="7"/>
    <n v="10.3"/>
    <s v="Low"/>
  </r>
  <r>
    <x v="939"/>
    <s v="Vikram Singh"/>
    <x v="5"/>
    <s v="Account Manager"/>
    <x v="0"/>
    <n v="54"/>
    <s v="Married"/>
    <s v="2024-09-20"/>
    <m/>
    <x v="1"/>
    <x v="936"/>
    <n v="4"/>
    <x v="2"/>
    <x v="0"/>
    <n v="23"/>
    <n v="1.9"/>
    <s v="Low"/>
  </r>
  <r>
    <x v="940"/>
    <s v="Pooja Reddy"/>
    <x v="1"/>
    <s v="IT Support"/>
    <x v="1"/>
    <n v="43"/>
    <s v="Married"/>
    <s v="2021-08-19"/>
    <m/>
    <x v="1"/>
    <x v="937"/>
    <n v="1"/>
    <x v="3"/>
    <x v="0"/>
    <n v="5"/>
    <n v="5"/>
    <s v="Medium"/>
  </r>
  <r>
    <x v="941"/>
    <s v="Nisha Nair"/>
    <x v="4"/>
    <s v="Finance Manager"/>
    <x v="1"/>
    <n v="52"/>
    <s v="Single"/>
    <s v="2022-11-07"/>
    <m/>
    <x v="1"/>
    <x v="938"/>
    <n v="5"/>
    <x v="4"/>
    <x v="1"/>
    <n v="33"/>
    <n v="3.8"/>
    <s v="High"/>
  </r>
  <r>
    <x v="942"/>
    <s v="Rita Chopra"/>
    <x v="3"/>
    <s v="Logistics Coordinator"/>
    <x v="1"/>
    <n v="42"/>
    <s v="Married"/>
    <s v="2019-12-02"/>
    <m/>
    <x v="1"/>
    <x v="939"/>
    <n v="3"/>
    <x v="0"/>
    <x v="1"/>
    <n v="7"/>
    <n v="6.7"/>
    <s v="Medium"/>
  </r>
  <r>
    <x v="943"/>
    <s v="Anita Reddy"/>
    <x v="5"/>
    <s v="Account Manager"/>
    <x v="1"/>
    <n v="46"/>
    <s v="Divorced"/>
    <s v="2018-07-28"/>
    <s v="2025-08-20"/>
    <x v="0"/>
    <x v="940"/>
    <n v="1"/>
    <x v="4"/>
    <x v="0"/>
    <n v="14"/>
    <n v="7.1"/>
    <s v="N/A"/>
  </r>
  <r>
    <x v="944"/>
    <s v="Anita Joshi"/>
    <x v="2"/>
    <s v="HR Executive"/>
    <x v="1"/>
    <n v="29"/>
    <s v="Married"/>
    <s v="2018-03-25"/>
    <m/>
    <x v="1"/>
    <x v="941"/>
    <n v="2"/>
    <x v="2"/>
    <x v="1"/>
    <n v="11"/>
    <n v="8.4"/>
    <s v="Medium"/>
  </r>
  <r>
    <x v="945"/>
    <s v="Sneha Kumar"/>
    <x v="5"/>
    <s v="Sales Executive"/>
    <x v="1"/>
    <n v="35"/>
    <s v="Single"/>
    <s v="2021-03-11"/>
    <m/>
    <x v="1"/>
    <x v="942"/>
    <n v="1"/>
    <x v="4"/>
    <x v="0"/>
    <n v="39"/>
    <n v="5.4"/>
    <s v="Medium"/>
  </r>
  <r>
    <x v="946"/>
    <s v="Rahul Das"/>
    <x v="3"/>
    <s v="Logistics Coordinator"/>
    <x v="0"/>
    <n v="23"/>
    <s v="Single"/>
    <s v="2019-02-22"/>
    <m/>
    <x v="1"/>
    <x v="943"/>
    <n v="4"/>
    <x v="0"/>
    <x v="1"/>
    <n v="29"/>
    <n v="7.5"/>
    <s v="Medium"/>
  </r>
  <r>
    <x v="947"/>
    <s v="Vivek Malhotra"/>
    <x v="2"/>
    <s v="HR Executive"/>
    <x v="0"/>
    <n v="53"/>
    <s v="Married"/>
    <s v="2017-12-13"/>
    <m/>
    <x v="1"/>
    <x v="944"/>
    <n v="3"/>
    <x v="4"/>
    <x v="1"/>
    <n v="43"/>
    <n v="8.6999999999999993"/>
    <s v="High"/>
  </r>
  <r>
    <x v="948"/>
    <s v="Anil Joshi"/>
    <x v="0"/>
    <s v="Marketing Executive"/>
    <x v="0"/>
    <n v="54"/>
    <s v="Single"/>
    <s v="2018-10-05"/>
    <m/>
    <x v="1"/>
    <x v="945"/>
    <n v="1"/>
    <x v="0"/>
    <x v="1"/>
    <n v="45"/>
    <n v="7.8"/>
    <s v="Medium"/>
  </r>
  <r>
    <x v="949"/>
    <s v="Meena Bose"/>
    <x v="0"/>
    <s v="Content Specialist"/>
    <x v="1"/>
    <n v="24"/>
    <s v="Single"/>
    <s v="2022-02-11"/>
    <m/>
    <x v="1"/>
    <x v="946"/>
    <n v="2"/>
    <x v="4"/>
    <x v="0"/>
    <n v="38"/>
    <n v="4.5"/>
    <s v="Medium"/>
  </r>
  <r>
    <x v="950"/>
    <s v="Gaurav Joshi"/>
    <x v="2"/>
    <s v="HR Manager"/>
    <x v="0"/>
    <n v="53"/>
    <s v="Married"/>
    <s v="2018-03-03"/>
    <s v="2024-08-02"/>
    <x v="0"/>
    <x v="947"/>
    <n v="5"/>
    <x v="3"/>
    <x v="1"/>
    <n v="14"/>
    <n v="6.4"/>
    <s v="N/A"/>
  </r>
  <r>
    <x v="951"/>
    <s v="Amit Malhotra"/>
    <x v="3"/>
    <s v="Operations Executive"/>
    <x v="0"/>
    <n v="38"/>
    <s v="Married"/>
    <s v="2021-11-17"/>
    <m/>
    <x v="1"/>
    <x v="948"/>
    <n v="2"/>
    <x v="0"/>
    <x v="0"/>
    <n v="41"/>
    <n v="4.7"/>
    <s v="Low"/>
  </r>
  <r>
    <x v="952"/>
    <s v="Deepak Das"/>
    <x v="1"/>
    <s v="System Analyst"/>
    <x v="0"/>
    <n v="53"/>
    <s v="Married"/>
    <s v="2023-12-08"/>
    <s v="2024-05-31"/>
    <x v="0"/>
    <x v="949"/>
    <n v="3"/>
    <x v="0"/>
    <x v="0"/>
    <n v="35"/>
    <n v="0.5"/>
    <s v="N/A"/>
  </r>
  <r>
    <x v="953"/>
    <s v="Rekha Mehta"/>
    <x v="2"/>
    <s v="HR Manager"/>
    <x v="1"/>
    <n v="49"/>
    <s v="Married"/>
    <s v="2016-04-19"/>
    <m/>
    <x v="1"/>
    <x v="950"/>
    <n v="1"/>
    <x v="1"/>
    <x v="1"/>
    <n v="23"/>
    <n v="10.3"/>
    <s v="Medium"/>
  </r>
  <r>
    <x v="954"/>
    <s v="Divya Sharma"/>
    <x v="4"/>
    <s v="Accountant"/>
    <x v="1"/>
    <n v="40"/>
    <s v="Married"/>
    <s v="2018-01-02"/>
    <m/>
    <x v="1"/>
    <x v="951"/>
    <n v="1"/>
    <x v="2"/>
    <x v="0"/>
    <n v="36"/>
    <n v="8.6"/>
    <s v="Low"/>
  </r>
  <r>
    <x v="955"/>
    <s v="Rita Malhotra"/>
    <x v="2"/>
    <s v="HR Manager"/>
    <x v="1"/>
    <n v="47"/>
    <s v="Divorced"/>
    <s v="2017-12-03"/>
    <m/>
    <x v="1"/>
    <x v="952"/>
    <n v="4"/>
    <x v="1"/>
    <x v="0"/>
    <n v="15"/>
    <n v="8.6999999999999993"/>
    <s v="Low"/>
  </r>
  <r>
    <x v="956"/>
    <s v="Divya Chauhan"/>
    <x v="2"/>
    <s v="HR Manager"/>
    <x v="1"/>
    <n v="32"/>
    <s v="Single"/>
    <s v="2021-01-04"/>
    <m/>
    <x v="1"/>
    <x v="953"/>
    <n v="5"/>
    <x v="3"/>
    <x v="1"/>
    <n v="40"/>
    <n v="5.6"/>
    <s v="High"/>
  </r>
  <r>
    <x v="957"/>
    <s v="Nikhil Patel"/>
    <x v="5"/>
    <s v="Account Manager"/>
    <x v="0"/>
    <n v="43"/>
    <s v="Divorced"/>
    <s v="2025-03-25"/>
    <m/>
    <x v="1"/>
    <x v="954"/>
    <n v="1"/>
    <x v="0"/>
    <x v="0"/>
    <n v="42"/>
    <n v="1.4"/>
    <s v="Low"/>
  </r>
  <r>
    <x v="958"/>
    <s v="Sunil Chopra"/>
    <x v="3"/>
    <s v="Operations Executive"/>
    <x v="0"/>
    <n v="36"/>
    <s v="Divorced"/>
    <s v="2018-04-03"/>
    <m/>
    <x v="1"/>
    <x v="955"/>
    <n v="3"/>
    <x v="1"/>
    <x v="0"/>
    <n v="27"/>
    <n v="8.4"/>
    <s v="Low"/>
  </r>
  <r>
    <x v="959"/>
    <s v="Rajesh Kumar"/>
    <x v="5"/>
    <s v="Sales Executive"/>
    <x v="0"/>
    <n v="54"/>
    <s v="Single"/>
    <s v="2019-06-18"/>
    <s v="2022-05-25"/>
    <x v="0"/>
    <x v="956"/>
    <n v="2"/>
    <x v="3"/>
    <x v="0"/>
    <n v="19"/>
    <n v="2.9"/>
    <s v="N/A"/>
  </r>
  <r>
    <x v="960"/>
    <s v="Nikhil Chopra"/>
    <x v="5"/>
    <s v="Sales Manager"/>
    <x v="0"/>
    <n v="30"/>
    <s v="Divorced"/>
    <s v="2024-03-05"/>
    <m/>
    <x v="1"/>
    <x v="957"/>
    <n v="1"/>
    <x v="1"/>
    <x v="0"/>
    <n v="5"/>
    <n v="2.4"/>
    <s v="Low"/>
  </r>
  <r>
    <x v="961"/>
    <s v="Rahul Bose"/>
    <x v="0"/>
    <s v="Marketing Manager"/>
    <x v="0"/>
    <n v="31"/>
    <s v="Married"/>
    <s v="2016-01-27"/>
    <m/>
    <x v="1"/>
    <x v="958"/>
    <n v="2"/>
    <x v="2"/>
    <x v="0"/>
    <n v="39"/>
    <n v="10.5"/>
    <s v="Low"/>
  </r>
  <r>
    <x v="962"/>
    <s v="Deepak Rao"/>
    <x v="4"/>
    <s v="Finance Manager"/>
    <x v="0"/>
    <n v="51"/>
    <s v="Married"/>
    <s v="2017-04-10"/>
    <s v="2021-12-29"/>
    <x v="0"/>
    <x v="959"/>
    <n v="4"/>
    <x v="0"/>
    <x v="1"/>
    <n v="25"/>
    <n v="4.7"/>
    <s v="N/A"/>
  </r>
  <r>
    <x v="963"/>
    <s v="Anita Bose"/>
    <x v="3"/>
    <s v="Operations Manager"/>
    <x v="1"/>
    <n v="54"/>
    <s v="Divorced"/>
    <s v="2017-09-28"/>
    <m/>
    <x v="1"/>
    <x v="960"/>
    <n v="4"/>
    <x v="2"/>
    <x v="0"/>
    <n v="24"/>
    <n v="8.9"/>
    <s v="Low"/>
  </r>
  <r>
    <x v="964"/>
    <s v="Nikhil Mehta"/>
    <x v="4"/>
    <s v="Financial Analyst"/>
    <x v="0"/>
    <n v="50"/>
    <s v="Divorced"/>
    <s v="2019-02-23"/>
    <m/>
    <x v="1"/>
    <x v="961"/>
    <n v="3"/>
    <x v="3"/>
    <x v="0"/>
    <n v="22"/>
    <n v="7.5"/>
    <s v="Medium"/>
  </r>
  <r>
    <x v="965"/>
    <s v="Karan Das"/>
    <x v="5"/>
    <s v="Account Manager"/>
    <x v="0"/>
    <n v="37"/>
    <s v="Divorced"/>
    <s v="2015-12-10"/>
    <m/>
    <x v="1"/>
    <x v="962"/>
    <n v="4"/>
    <x v="0"/>
    <x v="1"/>
    <n v="34"/>
    <n v="10.7"/>
    <s v="Medium"/>
  </r>
  <r>
    <x v="966"/>
    <s v="Nisha Nair"/>
    <x v="5"/>
    <s v="Sales Manager"/>
    <x v="1"/>
    <n v="43"/>
    <s v="Single"/>
    <s v="2024-05-10"/>
    <s v="2025-02-08"/>
    <x v="0"/>
    <x v="963"/>
    <n v="5"/>
    <x v="1"/>
    <x v="1"/>
    <n v="39"/>
    <n v="0.8"/>
    <s v="N/A"/>
  </r>
  <r>
    <x v="967"/>
    <s v="Rekha Mehta"/>
    <x v="3"/>
    <s v="Operations Manager"/>
    <x v="1"/>
    <n v="42"/>
    <s v="Single"/>
    <s v="2020-03-04"/>
    <m/>
    <x v="1"/>
    <x v="964"/>
    <n v="5"/>
    <x v="0"/>
    <x v="0"/>
    <n v="6"/>
    <n v="6.4"/>
    <s v="Low"/>
  </r>
  <r>
    <x v="968"/>
    <s v="Rahul Joshi"/>
    <x v="5"/>
    <s v="Sales Manager"/>
    <x v="0"/>
    <n v="55"/>
    <s v="Married"/>
    <s v="2023-05-23"/>
    <m/>
    <x v="1"/>
    <x v="965"/>
    <n v="4"/>
    <x v="4"/>
    <x v="1"/>
    <n v="8"/>
    <n v="3.2"/>
    <s v="High"/>
  </r>
  <r>
    <x v="969"/>
    <s v="Sneha Bose"/>
    <x v="0"/>
    <s v="Content Specialist"/>
    <x v="1"/>
    <n v="48"/>
    <s v="Divorced"/>
    <s v="2019-06-24"/>
    <s v="2023-04-04"/>
    <x v="0"/>
    <x v="966"/>
    <n v="4"/>
    <x v="3"/>
    <x v="1"/>
    <n v="19"/>
    <n v="3.8"/>
    <s v="N/A"/>
  </r>
  <r>
    <x v="970"/>
    <s v="Arjun Nair"/>
    <x v="3"/>
    <s v="Operations Manager"/>
    <x v="0"/>
    <n v="55"/>
    <s v="Married"/>
    <s v="2022-09-06"/>
    <m/>
    <x v="1"/>
    <x v="967"/>
    <n v="3"/>
    <x v="0"/>
    <x v="1"/>
    <n v="34"/>
    <n v="3.9"/>
    <s v="Medium"/>
  </r>
  <r>
    <x v="971"/>
    <s v="Rohan Pillai"/>
    <x v="1"/>
    <s v="System Analyst"/>
    <x v="0"/>
    <n v="52"/>
    <s v="Single"/>
    <s v="2015-02-10"/>
    <s v="2019-06-26"/>
    <x v="0"/>
    <x v="968"/>
    <n v="2"/>
    <x v="4"/>
    <x v="1"/>
    <n v="31"/>
    <n v="4.4000000000000004"/>
    <s v="N/A"/>
  </r>
  <r>
    <x v="972"/>
    <s v="Sunil Kapoor"/>
    <x v="1"/>
    <s v="IT Support"/>
    <x v="0"/>
    <n v="43"/>
    <s v="Married"/>
    <s v="2016-01-23"/>
    <m/>
    <x v="1"/>
    <x v="969"/>
    <n v="5"/>
    <x v="2"/>
    <x v="1"/>
    <n v="11"/>
    <n v="10.5"/>
    <s v="Medium"/>
  </r>
  <r>
    <x v="973"/>
    <s v="Karan Rao"/>
    <x v="1"/>
    <s v="System Analyst"/>
    <x v="0"/>
    <n v="40"/>
    <s v="Divorced"/>
    <s v="2024-03-15"/>
    <m/>
    <x v="1"/>
    <x v="970"/>
    <n v="5"/>
    <x v="2"/>
    <x v="0"/>
    <n v="20"/>
    <n v="2.4"/>
    <s v="Low"/>
  </r>
  <r>
    <x v="974"/>
    <s v="Vikram Chauhan"/>
    <x v="2"/>
    <s v="Recruiter"/>
    <x v="0"/>
    <n v="31"/>
    <s v="Single"/>
    <s v="2016-02-26"/>
    <s v="2022-03-05"/>
    <x v="0"/>
    <x v="971"/>
    <n v="2"/>
    <x v="1"/>
    <x v="0"/>
    <n v="17"/>
    <n v="6"/>
    <s v="N/A"/>
  </r>
  <r>
    <x v="975"/>
    <s v="Rekha Chauhan"/>
    <x v="3"/>
    <s v="Logistics Coordinator"/>
    <x v="1"/>
    <n v="39"/>
    <s v="Single"/>
    <s v="2024-01-20"/>
    <m/>
    <x v="1"/>
    <x v="972"/>
    <n v="4"/>
    <x v="0"/>
    <x v="0"/>
    <n v="14"/>
    <n v="2.5"/>
    <s v="Low"/>
  </r>
  <r>
    <x v="976"/>
    <s v="Arjun Joshi"/>
    <x v="1"/>
    <s v="Software Engineer"/>
    <x v="0"/>
    <n v="52"/>
    <s v="Married"/>
    <s v="2024-10-22"/>
    <s v="2026-04-18"/>
    <x v="0"/>
    <x v="973"/>
    <n v="1"/>
    <x v="3"/>
    <x v="1"/>
    <n v="9"/>
    <n v="1.5"/>
    <s v="N/A"/>
  </r>
  <r>
    <x v="977"/>
    <s v="Sanjay Bose"/>
    <x v="2"/>
    <s v="HR Manager"/>
    <x v="0"/>
    <n v="47"/>
    <s v="Divorced"/>
    <s v="2019-03-26"/>
    <m/>
    <x v="1"/>
    <x v="974"/>
    <n v="3"/>
    <x v="2"/>
    <x v="0"/>
    <n v="20"/>
    <n v="7.4"/>
    <s v="Low"/>
  </r>
  <r>
    <x v="978"/>
    <s v="Rohan Rao"/>
    <x v="5"/>
    <s v="Account Manager"/>
    <x v="0"/>
    <n v="31"/>
    <s v="Married"/>
    <s v="2024-06-02"/>
    <m/>
    <x v="1"/>
    <x v="975"/>
    <n v="4"/>
    <x v="2"/>
    <x v="0"/>
    <n v="45"/>
    <n v="2.2000000000000002"/>
    <s v="Low"/>
  </r>
  <r>
    <x v="979"/>
    <s v="Kavita Sharma"/>
    <x v="3"/>
    <s v="Operations Manager"/>
    <x v="1"/>
    <n v="45"/>
    <s v="Divorced"/>
    <s v="2024-08-04"/>
    <m/>
    <x v="1"/>
    <x v="976"/>
    <n v="4"/>
    <x v="1"/>
    <x v="0"/>
    <n v="14"/>
    <n v="2"/>
    <s v="Low"/>
  </r>
  <r>
    <x v="980"/>
    <s v="Kavita Sharma"/>
    <x v="1"/>
    <s v="System Analyst"/>
    <x v="1"/>
    <n v="34"/>
    <s v="Married"/>
    <s v="2019-12-16"/>
    <s v="2024-04-03"/>
    <x v="0"/>
    <x v="977"/>
    <n v="1"/>
    <x v="4"/>
    <x v="0"/>
    <n v="38"/>
    <n v="4.3"/>
    <s v="N/A"/>
  </r>
  <r>
    <x v="981"/>
    <s v="Ashok Rao"/>
    <x v="2"/>
    <s v="Recruiter"/>
    <x v="0"/>
    <n v="24"/>
    <s v="Divorced"/>
    <s v="2022-04-05"/>
    <s v="2025-12-05"/>
    <x v="0"/>
    <x v="978"/>
    <n v="4"/>
    <x v="2"/>
    <x v="1"/>
    <n v="3"/>
    <n v="3.7"/>
    <s v="N/A"/>
  </r>
  <r>
    <x v="982"/>
    <s v="Gaurav Bhatt"/>
    <x v="5"/>
    <s v="Account Manager"/>
    <x v="0"/>
    <n v="51"/>
    <s v="Single"/>
    <s v="2020-07-01"/>
    <m/>
    <x v="1"/>
    <x v="979"/>
    <n v="1"/>
    <x v="0"/>
    <x v="1"/>
    <n v="3"/>
    <n v="6.1"/>
    <s v="Medium"/>
  </r>
  <r>
    <x v="983"/>
    <s v="Arjun Patel"/>
    <x v="0"/>
    <s v="Marketing Executive"/>
    <x v="0"/>
    <n v="48"/>
    <s v="Single"/>
    <s v="2024-05-09"/>
    <s v="2026-01-16"/>
    <x v="0"/>
    <x v="980"/>
    <n v="4"/>
    <x v="3"/>
    <x v="0"/>
    <n v="41"/>
    <n v="1.7"/>
    <s v="N/A"/>
  </r>
  <r>
    <x v="984"/>
    <s v="Anil Reddy"/>
    <x v="2"/>
    <s v="HR Executive"/>
    <x v="0"/>
    <n v="32"/>
    <s v="Divorced"/>
    <s v="2025-02-26"/>
    <m/>
    <x v="1"/>
    <x v="981"/>
    <n v="5"/>
    <x v="1"/>
    <x v="0"/>
    <n v="1"/>
    <n v="1.4"/>
    <s v="Low"/>
  </r>
  <r>
    <x v="985"/>
    <s v="Vikram Gupta"/>
    <x v="0"/>
    <s v="Content Specialist"/>
    <x v="0"/>
    <n v="54"/>
    <s v="Married"/>
    <s v="2016-08-27"/>
    <m/>
    <x v="1"/>
    <x v="982"/>
    <n v="2"/>
    <x v="3"/>
    <x v="0"/>
    <n v="29"/>
    <n v="10"/>
    <s v="Medium"/>
  </r>
  <r>
    <x v="986"/>
    <s v="Kavita Sharma"/>
    <x v="0"/>
    <s v="Content Specialist"/>
    <x v="1"/>
    <n v="41"/>
    <s v="Divorced"/>
    <s v="2018-01-26"/>
    <s v="2023-06-05"/>
    <x v="0"/>
    <x v="983"/>
    <n v="3"/>
    <x v="3"/>
    <x v="0"/>
    <n v="30"/>
    <n v="5.4"/>
    <s v="N/A"/>
  </r>
  <r>
    <x v="987"/>
    <s v="Rohan Patel"/>
    <x v="5"/>
    <s v="Sales Executive"/>
    <x v="0"/>
    <n v="33"/>
    <s v="Divorced"/>
    <s v="2018-07-24"/>
    <m/>
    <x v="1"/>
    <x v="984"/>
    <n v="2"/>
    <x v="3"/>
    <x v="0"/>
    <n v="1"/>
    <n v="8"/>
    <s v="Medium"/>
  </r>
  <r>
    <x v="988"/>
    <s v="Deepak Gupta"/>
    <x v="5"/>
    <s v="Account Manager"/>
    <x v="0"/>
    <n v="30"/>
    <s v="Divorced"/>
    <s v="2018-06-25"/>
    <m/>
    <x v="1"/>
    <x v="985"/>
    <n v="2"/>
    <x v="1"/>
    <x v="1"/>
    <n v="18"/>
    <n v="8.1"/>
    <s v="Medium"/>
  </r>
  <r>
    <x v="989"/>
    <s v="Meena Joshi"/>
    <x v="1"/>
    <s v="Software Engineer"/>
    <x v="1"/>
    <n v="40"/>
    <s v="Divorced"/>
    <s v="2017-11-28"/>
    <m/>
    <x v="1"/>
    <x v="986"/>
    <n v="1"/>
    <x v="1"/>
    <x v="0"/>
    <n v="32"/>
    <n v="8.6999999999999993"/>
    <s v="Low"/>
  </r>
  <r>
    <x v="990"/>
    <s v="Kavita Verma"/>
    <x v="0"/>
    <s v="Content Specialist"/>
    <x v="1"/>
    <n v="46"/>
    <s v="Divorced"/>
    <s v="2016-09-29"/>
    <m/>
    <x v="1"/>
    <x v="987"/>
    <n v="4"/>
    <x v="4"/>
    <x v="0"/>
    <n v="23"/>
    <n v="9.9"/>
    <s v="Medium"/>
  </r>
  <r>
    <x v="991"/>
    <s v="Anjali Pillai"/>
    <x v="1"/>
    <s v="System Analyst"/>
    <x v="1"/>
    <n v="35"/>
    <s v="Divorced"/>
    <s v="2017-11-23"/>
    <m/>
    <x v="1"/>
    <x v="988"/>
    <n v="1"/>
    <x v="1"/>
    <x v="1"/>
    <n v="8"/>
    <n v="8.6999999999999993"/>
    <s v="Medium"/>
  </r>
  <r>
    <x v="992"/>
    <s v="Seema Reddy"/>
    <x v="4"/>
    <s v="Financial Analyst"/>
    <x v="1"/>
    <n v="45"/>
    <s v="Single"/>
    <s v="2021-04-28"/>
    <m/>
    <x v="1"/>
    <x v="989"/>
    <n v="1"/>
    <x v="0"/>
    <x v="0"/>
    <n v="21"/>
    <n v="5.3"/>
    <s v="Low"/>
  </r>
  <r>
    <x v="993"/>
    <s v="Komal Reddy"/>
    <x v="5"/>
    <s v="Sales Executive"/>
    <x v="1"/>
    <n v="43"/>
    <s v="Married"/>
    <s v="2022-04-07"/>
    <m/>
    <x v="1"/>
    <x v="990"/>
    <n v="3"/>
    <x v="4"/>
    <x v="0"/>
    <n v="20"/>
    <n v="4.3"/>
    <s v="Medium"/>
  </r>
  <r>
    <x v="994"/>
    <s v="Seema Chauhan"/>
    <x v="5"/>
    <s v="Sales Manager"/>
    <x v="1"/>
    <n v="49"/>
    <s v="Married"/>
    <s v="2023-03-13"/>
    <m/>
    <x v="1"/>
    <x v="991"/>
    <n v="3"/>
    <x v="4"/>
    <x v="0"/>
    <n v="24"/>
    <n v="3.4"/>
    <s v="Medium"/>
  </r>
  <r>
    <x v="995"/>
    <s v="Sanjay Pillai"/>
    <x v="4"/>
    <s v="Accountant"/>
    <x v="0"/>
    <n v="28"/>
    <s v="Single"/>
    <s v="2019-09-21"/>
    <s v="2021-10-01"/>
    <x v="0"/>
    <x v="992"/>
    <n v="5"/>
    <x v="1"/>
    <x v="0"/>
    <n v="26"/>
    <n v="2"/>
    <s v="N/A"/>
  </r>
  <r>
    <x v="996"/>
    <s v="Prakash Singh"/>
    <x v="2"/>
    <s v="Recruiter"/>
    <x v="0"/>
    <n v="30"/>
    <s v="Single"/>
    <s v="2022-06-10"/>
    <m/>
    <x v="1"/>
    <x v="993"/>
    <n v="1"/>
    <x v="3"/>
    <x v="1"/>
    <n v="20"/>
    <n v="4.2"/>
    <s v="High"/>
  </r>
  <r>
    <x v="997"/>
    <s v="Vivek Sharma"/>
    <x v="4"/>
    <s v="Accountant"/>
    <x v="0"/>
    <n v="31"/>
    <s v="Single"/>
    <s v="2017-03-31"/>
    <m/>
    <x v="1"/>
    <x v="994"/>
    <n v="3"/>
    <x v="1"/>
    <x v="0"/>
    <n v="6"/>
    <n v="9.4"/>
    <s v="Low"/>
  </r>
  <r>
    <x v="998"/>
    <s v="Arjun Bose"/>
    <x v="4"/>
    <s v="Financial Analyst"/>
    <x v="0"/>
    <n v="45"/>
    <s v="Divorced"/>
    <s v="2015-01-21"/>
    <m/>
    <x v="1"/>
    <x v="995"/>
    <n v="1"/>
    <x v="1"/>
    <x v="0"/>
    <n v="31"/>
    <n v="11.6"/>
    <s v="Low"/>
  </r>
  <r>
    <x v="999"/>
    <s v="Rita Mehta"/>
    <x v="1"/>
    <s v="System Analyst"/>
    <x v="1"/>
    <n v="28"/>
    <s v="Married"/>
    <s v="2019-05-07"/>
    <m/>
    <x v="1"/>
    <x v="996"/>
    <n v="4"/>
    <x v="4"/>
    <x v="1"/>
    <n v="21"/>
    <n v="7.3"/>
    <s v="High"/>
  </r>
  <r>
    <x v="1000"/>
    <s v="Ritu Patel"/>
    <x v="0"/>
    <s v="Marketing Manager"/>
    <x v="1"/>
    <n v="44"/>
    <s v="Divorced"/>
    <s v="2020-06-23"/>
    <s v="2023-04-12"/>
    <x v="0"/>
    <x v="997"/>
    <n v="1"/>
    <x v="0"/>
    <x v="0"/>
    <n v="15"/>
    <n v="2.8"/>
    <s v="N/A"/>
  </r>
  <r>
    <x v="1001"/>
    <s v="Payal Sharma"/>
    <x v="2"/>
    <s v="HR Manager"/>
    <x v="1"/>
    <n v="47"/>
    <s v="Single"/>
    <s v="2025-04-04"/>
    <s v="2026-01-11"/>
    <x v="0"/>
    <x v="998"/>
    <n v="2"/>
    <x v="4"/>
    <x v="1"/>
    <n v="32"/>
    <n v="0.8"/>
    <s v="N/A"/>
  </r>
  <r>
    <x v="1002"/>
    <s v="Kavita Malhotra"/>
    <x v="5"/>
    <s v="Sales Manager"/>
    <x v="1"/>
    <n v="31"/>
    <s v="Single"/>
    <s v="2018-03-13"/>
    <s v="2026-01-04"/>
    <x v="0"/>
    <x v="999"/>
    <n v="1"/>
    <x v="2"/>
    <x v="1"/>
    <n v="17"/>
    <n v="7.8"/>
    <s v="N/A"/>
  </r>
  <r>
    <x v="1003"/>
    <s v="Anjali Iyer"/>
    <x v="3"/>
    <s v="Operations Executive"/>
    <x v="1"/>
    <n v="28"/>
    <s v="Divorced"/>
    <s v="2022-05-10"/>
    <m/>
    <x v="1"/>
    <x v="1000"/>
    <n v="2"/>
    <x v="3"/>
    <x v="0"/>
    <n v="21"/>
    <n v="4.2"/>
    <s v="Medium"/>
  </r>
  <r>
    <x v="1004"/>
    <s v="Gaurav Chopra"/>
    <x v="0"/>
    <s v="Marketing Manager"/>
    <x v="0"/>
    <n v="49"/>
    <s v="Divorced"/>
    <s v="2023-08-26"/>
    <m/>
    <x v="1"/>
    <x v="1001"/>
    <n v="3"/>
    <x v="2"/>
    <x v="1"/>
    <n v="41"/>
    <n v="3"/>
    <s v="Medium"/>
  </r>
  <r>
    <x v="1005"/>
    <s v="Komal Reddy"/>
    <x v="4"/>
    <s v="Finance Manager"/>
    <x v="1"/>
    <n v="56"/>
    <s v="Married"/>
    <s v="2019-02-03"/>
    <m/>
    <x v="1"/>
    <x v="1002"/>
    <n v="4"/>
    <x v="4"/>
    <x v="1"/>
    <n v="35"/>
    <n v="7.5"/>
    <s v="High"/>
  </r>
  <r>
    <x v="1006"/>
    <s v="Anil Chauhan"/>
    <x v="5"/>
    <s v="Sales Executive"/>
    <x v="0"/>
    <n v="38"/>
    <s v="Married"/>
    <s v="2017-03-20"/>
    <m/>
    <x v="1"/>
    <x v="1003"/>
    <n v="4"/>
    <x v="0"/>
    <x v="0"/>
    <n v="28"/>
    <n v="9.4"/>
    <s v="Low"/>
  </r>
  <r>
    <x v="1007"/>
    <s v="Sunita Verma"/>
    <x v="5"/>
    <s v="Sales Manager"/>
    <x v="1"/>
    <n v="45"/>
    <s v="Single"/>
    <s v="2017-10-30"/>
    <m/>
    <x v="1"/>
    <x v="1004"/>
    <n v="1"/>
    <x v="1"/>
    <x v="0"/>
    <n v="35"/>
    <n v="8.8000000000000007"/>
    <s v="Low"/>
  </r>
  <r>
    <x v="1008"/>
    <s v="Rekha Nair"/>
    <x v="4"/>
    <s v="Financial Analyst"/>
    <x v="1"/>
    <n v="24"/>
    <s v="Single"/>
    <s v="2021-09-06"/>
    <s v="2022-05-17"/>
    <x v="0"/>
    <x v="1005"/>
    <n v="5"/>
    <x v="3"/>
    <x v="1"/>
    <n v="26"/>
    <n v="0.7"/>
    <s v="N/A"/>
  </r>
  <r>
    <x v="1009"/>
    <s v="Gaurav Malhotra"/>
    <x v="1"/>
    <s v="IT Support"/>
    <x v="0"/>
    <n v="39"/>
    <s v="Married"/>
    <s v="2018-11-15"/>
    <s v="2022-09-12"/>
    <x v="0"/>
    <x v="1006"/>
    <n v="2"/>
    <x v="0"/>
    <x v="0"/>
    <n v="34"/>
    <n v="3.8"/>
    <s v="N/A"/>
  </r>
  <r>
    <x v="1010"/>
    <s v="Ashok Kumar"/>
    <x v="2"/>
    <s v="HR Executive"/>
    <x v="0"/>
    <n v="46"/>
    <s v="Married"/>
    <s v="2020-09-30"/>
    <m/>
    <x v="1"/>
    <x v="1007"/>
    <n v="3"/>
    <x v="3"/>
    <x v="0"/>
    <n v="41"/>
    <n v="5.9"/>
    <s v="Medium"/>
  </r>
  <r>
    <x v="1011"/>
    <s v="Anjali Malhotra"/>
    <x v="5"/>
    <s v="Sales Executive"/>
    <x v="1"/>
    <n v="29"/>
    <s v="Divorced"/>
    <s v="2023-11-25"/>
    <m/>
    <x v="1"/>
    <x v="1008"/>
    <n v="3"/>
    <x v="1"/>
    <x v="1"/>
    <n v="40"/>
    <n v="2.7"/>
    <s v="Medium"/>
  </r>
  <r>
    <x v="1012"/>
    <s v="Ajay Chauhan"/>
    <x v="1"/>
    <s v="IT Support"/>
    <x v="0"/>
    <n v="52"/>
    <s v="Single"/>
    <s v="2017-05-31"/>
    <m/>
    <x v="1"/>
    <x v="1009"/>
    <n v="3"/>
    <x v="2"/>
    <x v="0"/>
    <n v="45"/>
    <n v="9.1999999999999993"/>
    <s v="Low"/>
  </r>
  <r>
    <x v="1013"/>
    <s v="Kavita Nair"/>
    <x v="0"/>
    <s v="Marketing Executive"/>
    <x v="1"/>
    <n v="39"/>
    <s v="Married"/>
    <s v="2015-01-21"/>
    <s v="2022-05-10"/>
    <x v="0"/>
    <x v="1010"/>
    <n v="4"/>
    <x v="3"/>
    <x v="0"/>
    <n v="43"/>
    <n v="7.3"/>
    <s v="N/A"/>
  </r>
  <r>
    <x v="1014"/>
    <s v="Rahul Reddy"/>
    <x v="5"/>
    <s v="Sales Executive"/>
    <x v="0"/>
    <n v="36"/>
    <s v="Divorced"/>
    <s v="2015-09-19"/>
    <m/>
    <x v="1"/>
    <x v="1011"/>
    <n v="4"/>
    <x v="0"/>
    <x v="0"/>
    <n v="38"/>
    <n v="10.9"/>
    <s v="Low"/>
  </r>
  <r>
    <x v="1015"/>
    <s v="Ritu Sharma"/>
    <x v="3"/>
    <s v="Operations Manager"/>
    <x v="1"/>
    <n v="43"/>
    <s v="Divorced"/>
    <s v="2018-10-27"/>
    <m/>
    <x v="1"/>
    <x v="1012"/>
    <n v="2"/>
    <x v="2"/>
    <x v="1"/>
    <n v="30"/>
    <n v="7.8"/>
    <s v="Medium"/>
  </r>
  <r>
    <x v="1016"/>
    <s v="Nikhil Rao"/>
    <x v="3"/>
    <s v="Logistics Coordinator"/>
    <x v="0"/>
    <n v="47"/>
    <s v="Divorced"/>
    <s v="2015-05-13"/>
    <m/>
    <x v="1"/>
    <x v="1013"/>
    <n v="1"/>
    <x v="0"/>
    <x v="0"/>
    <n v="41"/>
    <n v="11.2"/>
    <s v="Low"/>
  </r>
  <r>
    <x v="1017"/>
    <s v="Anita Nair"/>
    <x v="5"/>
    <s v="Sales Executive"/>
    <x v="1"/>
    <n v="42"/>
    <s v="Single"/>
    <s v="2020-01-24"/>
    <m/>
    <x v="1"/>
    <x v="1014"/>
    <n v="2"/>
    <x v="3"/>
    <x v="0"/>
    <n v="40"/>
    <n v="6.5"/>
    <s v="Medium"/>
  </r>
  <r>
    <x v="1018"/>
    <s v="Priya Nair"/>
    <x v="3"/>
    <s v="Operations Manager"/>
    <x v="1"/>
    <n v="57"/>
    <s v="Married"/>
    <s v="2023-05-06"/>
    <m/>
    <x v="1"/>
    <x v="1015"/>
    <n v="4"/>
    <x v="4"/>
    <x v="0"/>
    <n v="35"/>
    <n v="3.3"/>
    <s v="Medium"/>
  </r>
  <r>
    <x v="1019"/>
    <s v="Meena Gupta"/>
    <x v="5"/>
    <s v="Sales Executive"/>
    <x v="1"/>
    <n v="29"/>
    <s v="Married"/>
    <s v="2021-05-26"/>
    <m/>
    <x v="1"/>
    <x v="1016"/>
    <n v="4"/>
    <x v="4"/>
    <x v="1"/>
    <n v="36"/>
    <n v="5.2"/>
    <s v="High"/>
  </r>
  <r>
    <x v="1020"/>
    <s v="Rekha Iyer"/>
    <x v="4"/>
    <s v="Finance Manager"/>
    <x v="1"/>
    <n v="28"/>
    <s v="Married"/>
    <s v="2022-06-13"/>
    <m/>
    <x v="1"/>
    <x v="1017"/>
    <n v="5"/>
    <x v="1"/>
    <x v="0"/>
    <n v="35"/>
    <n v="4.2"/>
    <s v="Low"/>
  </r>
  <r>
    <x v="1021"/>
    <s v="Anita Kapoor"/>
    <x v="4"/>
    <s v="Accountant"/>
    <x v="1"/>
    <n v="32"/>
    <s v="Married"/>
    <s v="2025-05-12"/>
    <m/>
    <x v="1"/>
    <x v="1018"/>
    <n v="3"/>
    <x v="2"/>
    <x v="0"/>
    <n v="1"/>
    <n v="1.2"/>
    <s v="Low"/>
  </r>
  <r>
    <x v="1022"/>
    <s v="Nikhil Chauhan"/>
    <x v="0"/>
    <s v="Marketing Executive"/>
    <x v="0"/>
    <n v="48"/>
    <s v="Divorced"/>
    <s v="2019-09-10"/>
    <m/>
    <x v="1"/>
    <x v="1019"/>
    <n v="5"/>
    <x v="3"/>
    <x v="0"/>
    <n v="15"/>
    <n v="6.9"/>
    <s v="Medium"/>
  </r>
  <r>
    <x v="1023"/>
    <s v="Priya Reddy"/>
    <x v="5"/>
    <s v="Account Manager"/>
    <x v="1"/>
    <n v="37"/>
    <s v="Divorced"/>
    <s v="2016-11-12"/>
    <m/>
    <x v="1"/>
    <x v="1020"/>
    <n v="1"/>
    <x v="2"/>
    <x v="0"/>
    <n v="24"/>
    <n v="9.6999999999999993"/>
    <s v="Low"/>
  </r>
  <r>
    <x v="1024"/>
    <s v="Rohan Kapoor"/>
    <x v="0"/>
    <s v="Marketing Manager"/>
    <x v="0"/>
    <n v="45"/>
    <s v="Single"/>
    <s v="2023-02-09"/>
    <s v="2023-06-12"/>
    <x v="0"/>
    <x v="1021"/>
    <n v="4"/>
    <x v="4"/>
    <x v="0"/>
    <n v="13"/>
    <n v="0.3"/>
    <s v="N/A"/>
  </r>
  <r>
    <x v="1025"/>
    <s v="Rita Mehta"/>
    <x v="1"/>
    <s v="IT Support"/>
    <x v="1"/>
    <n v="50"/>
    <s v="Divorced"/>
    <s v="2017-09-17"/>
    <m/>
    <x v="1"/>
    <x v="1022"/>
    <n v="5"/>
    <x v="2"/>
    <x v="0"/>
    <n v="42"/>
    <n v="8.9"/>
    <s v="Low"/>
  </r>
  <r>
    <x v="1026"/>
    <s v="Anjali Sharma"/>
    <x v="1"/>
    <s v="Software Engineer"/>
    <x v="1"/>
    <n v="24"/>
    <s v="Married"/>
    <s v="2022-08-25"/>
    <m/>
    <x v="1"/>
    <x v="1023"/>
    <n v="4"/>
    <x v="0"/>
    <x v="0"/>
    <n v="25"/>
    <n v="4"/>
    <s v="Low"/>
  </r>
  <r>
    <x v="1027"/>
    <s v="Ashok Bose"/>
    <x v="0"/>
    <s v="Content Specialist"/>
    <x v="0"/>
    <n v="23"/>
    <s v="Divorced"/>
    <s v="2019-12-02"/>
    <m/>
    <x v="1"/>
    <x v="1024"/>
    <n v="3"/>
    <x v="3"/>
    <x v="0"/>
    <n v="26"/>
    <n v="6.7"/>
    <s v="Medium"/>
  </r>
  <r>
    <x v="1028"/>
    <s v="Nisha Kumar"/>
    <x v="2"/>
    <s v="HR Manager"/>
    <x v="1"/>
    <n v="28"/>
    <s v="Married"/>
    <s v="2016-08-20"/>
    <m/>
    <x v="1"/>
    <x v="1025"/>
    <n v="1"/>
    <x v="0"/>
    <x v="0"/>
    <n v="11"/>
    <n v="10"/>
    <s v="Low"/>
  </r>
  <r>
    <x v="1029"/>
    <s v="Meena Rao"/>
    <x v="1"/>
    <s v="Software Engineer"/>
    <x v="1"/>
    <n v="28"/>
    <s v="Single"/>
    <s v="2018-09-13"/>
    <m/>
    <x v="1"/>
    <x v="1026"/>
    <n v="4"/>
    <x v="3"/>
    <x v="0"/>
    <n v="32"/>
    <n v="7.9"/>
    <s v="Medium"/>
  </r>
  <r>
    <x v="1030"/>
    <s v="Rekha Kapoor"/>
    <x v="2"/>
    <s v="HR Manager"/>
    <x v="1"/>
    <n v="38"/>
    <s v="Married"/>
    <s v="2021-05-16"/>
    <s v="2026-06-21"/>
    <x v="0"/>
    <x v="1027"/>
    <n v="2"/>
    <x v="3"/>
    <x v="1"/>
    <n v="10"/>
    <n v="5.0999999999999996"/>
    <s v="N/A"/>
  </r>
  <r>
    <x v="1031"/>
    <s v="Anita Nair"/>
    <x v="2"/>
    <s v="Recruiter"/>
    <x v="1"/>
    <n v="32"/>
    <s v="Single"/>
    <s v="2021-05-14"/>
    <m/>
    <x v="1"/>
    <x v="1028"/>
    <n v="4"/>
    <x v="2"/>
    <x v="0"/>
    <n v="44"/>
    <n v="5.2"/>
    <s v="Low"/>
  </r>
  <r>
    <x v="1032"/>
    <s v="Ashok Nair"/>
    <x v="0"/>
    <s v="Marketing Executive"/>
    <x v="0"/>
    <n v="46"/>
    <s v="Single"/>
    <s v="2017-11-19"/>
    <m/>
    <x v="1"/>
    <x v="1029"/>
    <n v="2"/>
    <x v="3"/>
    <x v="0"/>
    <n v="38"/>
    <n v="8.6999999999999993"/>
    <s v="Medium"/>
  </r>
  <r>
    <x v="1033"/>
    <s v="Komal Bhatt"/>
    <x v="2"/>
    <s v="HR Manager"/>
    <x v="1"/>
    <n v="32"/>
    <s v="Married"/>
    <s v="2018-11-10"/>
    <m/>
    <x v="1"/>
    <x v="1030"/>
    <n v="5"/>
    <x v="0"/>
    <x v="0"/>
    <n v="21"/>
    <n v="7.7"/>
    <s v="Low"/>
  </r>
  <r>
    <x v="1034"/>
    <s v="Rajesh Das"/>
    <x v="4"/>
    <s v="Finance Manager"/>
    <x v="0"/>
    <n v="33"/>
    <s v="Married"/>
    <s v="2020-06-05"/>
    <s v="2022-04-10"/>
    <x v="0"/>
    <x v="1031"/>
    <n v="1"/>
    <x v="3"/>
    <x v="0"/>
    <n v="22"/>
    <n v="1.8"/>
    <s v="N/A"/>
  </r>
  <r>
    <x v="1035"/>
    <s v="Karan Iyer"/>
    <x v="2"/>
    <s v="Recruiter"/>
    <x v="0"/>
    <n v="53"/>
    <s v="Single"/>
    <s v="2020-02-25"/>
    <m/>
    <x v="1"/>
    <x v="1032"/>
    <n v="5"/>
    <x v="3"/>
    <x v="0"/>
    <n v="15"/>
    <n v="6.5"/>
    <s v="Medium"/>
  </r>
  <r>
    <x v="1036"/>
    <s v="Anil Pillai"/>
    <x v="5"/>
    <s v="Sales Manager"/>
    <x v="0"/>
    <n v="26"/>
    <s v="Single"/>
    <s v="2018-01-16"/>
    <m/>
    <x v="1"/>
    <x v="1033"/>
    <n v="5"/>
    <x v="0"/>
    <x v="0"/>
    <n v="6"/>
    <n v="8.6"/>
    <s v="Low"/>
  </r>
  <r>
    <x v="1037"/>
    <s v="Manoj Joshi"/>
    <x v="3"/>
    <s v="Operations Executive"/>
    <x v="0"/>
    <n v="37"/>
    <s v="Married"/>
    <s v="2017-07-24"/>
    <m/>
    <x v="1"/>
    <x v="1034"/>
    <n v="2"/>
    <x v="2"/>
    <x v="0"/>
    <n v="3"/>
    <n v="9"/>
    <s v="Low"/>
  </r>
  <r>
    <x v="1038"/>
    <s v="Vikram Singh"/>
    <x v="5"/>
    <s v="Account Manager"/>
    <x v="0"/>
    <n v="55"/>
    <s v="Divorced"/>
    <s v="2018-05-25"/>
    <m/>
    <x v="1"/>
    <x v="1035"/>
    <n v="2"/>
    <x v="4"/>
    <x v="1"/>
    <n v="38"/>
    <n v="8.1999999999999993"/>
    <s v="High"/>
  </r>
  <r>
    <x v="1039"/>
    <s v="Anil Patel"/>
    <x v="5"/>
    <s v="Account Manager"/>
    <x v="0"/>
    <n v="34"/>
    <s v="Divorced"/>
    <s v="2020-05-13"/>
    <m/>
    <x v="1"/>
    <x v="1036"/>
    <n v="4"/>
    <x v="3"/>
    <x v="1"/>
    <n v="13"/>
    <n v="6.2"/>
    <s v="High"/>
  </r>
  <r>
    <x v="1040"/>
    <s v="Seema Sharma"/>
    <x v="3"/>
    <s v="Operations Manager"/>
    <x v="1"/>
    <n v="49"/>
    <s v="Divorced"/>
    <s v="2024-08-28"/>
    <m/>
    <x v="1"/>
    <x v="1037"/>
    <n v="2"/>
    <x v="2"/>
    <x v="0"/>
    <n v="38"/>
    <n v="1.9"/>
    <s v="Low"/>
  </r>
  <r>
    <x v="1041"/>
    <s v="Nisha Bhatt"/>
    <x v="4"/>
    <s v="Financial Analyst"/>
    <x v="1"/>
    <n v="39"/>
    <s v="Married"/>
    <s v="2020-07-10"/>
    <m/>
    <x v="1"/>
    <x v="1038"/>
    <n v="5"/>
    <x v="1"/>
    <x v="0"/>
    <n v="31"/>
    <n v="6.1"/>
    <s v="Low"/>
  </r>
  <r>
    <x v="1042"/>
    <s v="Anil Rao"/>
    <x v="2"/>
    <s v="HR Manager"/>
    <x v="0"/>
    <n v="57"/>
    <s v="Single"/>
    <s v="2020-08-22"/>
    <m/>
    <x v="1"/>
    <x v="1039"/>
    <n v="1"/>
    <x v="2"/>
    <x v="1"/>
    <n v="12"/>
    <n v="6"/>
    <s v="Medium"/>
  </r>
  <r>
    <x v="1043"/>
    <s v="Kavita Joshi"/>
    <x v="3"/>
    <s v="Operations Manager"/>
    <x v="1"/>
    <n v="26"/>
    <s v="Divorced"/>
    <s v="2023-07-12"/>
    <m/>
    <x v="1"/>
    <x v="1040"/>
    <n v="1"/>
    <x v="1"/>
    <x v="0"/>
    <n v="29"/>
    <n v="3.1"/>
    <s v="Low"/>
  </r>
  <r>
    <x v="1044"/>
    <s v="Sanjay Gupta"/>
    <x v="1"/>
    <s v="Software Engineer"/>
    <x v="0"/>
    <n v="41"/>
    <s v="Married"/>
    <s v="2020-08-17"/>
    <m/>
    <x v="1"/>
    <x v="1041"/>
    <n v="4"/>
    <x v="0"/>
    <x v="1"/>
    <n v="7"/>
    <n v="6"/>
    <s v="Medium"/>
  </r>
  <r>
    <x v="1045"/>
    <s v="Anil Joshi"/>
    <x v="1"/>
    <s v="IT Support"/>
    <x v="0"/>
    <n v="34"/>
    <s v="Single"/>
    <s v="2023-08-06"/>
    <s v="2026-06-01"/>
    <x v="0"/>
    <x v="1042"/>
    <n v="2"/>
    <x v="4"/>
    <x v="0"/>
    <n v="40"/>
    <n v="2.8"/>
    <s v="N/A"/>
  </r>
  <r>
    <x v="1046"/>
    <s v="Shweta Mehta"/>
    <x v="0"/>
    <s v="Content Specialist"/>
    <x v="1"/>
    <n v="38"/>
    <s v="Married"/>
    <s v="2020-04-17"/>
    <m/>
    <x v="1"/>
    <x v="1043"/>
    <n v="3"/>
    <x v="1"/>
    <x v="0"/>
    <n v="10"/>
    <n v="6.3"/>
    <s v="Low"/>
  </r>
  <r>
    <x v="1047"/>
    <s v="Anita Malhotra"/>
    <x v="0"/>
    <s v="Marketing Manager"/>
    <x v="1"/>
    <n v="58"/>
    <s v="Married"/>
    <s v="2019-05-31"/>
    <m/>
    <x v="1"/>
    <x v="1044"/>
    <n v="4"/>
    <x v="3"/>
    <x v="0"/>
    <n v="4"/>
    <n v="7.2"/>
    <s v="Medium"/>
  </r>
  <r>
    <x v="1048"/>
    <s v="Priya Gupta"/>
    <x v="1"/>
    <s v="System Analyst"/>
    <x v="1"/>
    <n v="35"/>
    <s v="Married"/>
    <s v="2022-06-04"/>
    <m/>
    <x v="1"/>
    <x v="1045"/>
    <n v="3"/>
    <x v="1"/>
    <x v="0"/>
    <n v="2"/>
    <n v="4.2"/>
    <s v="Low"/>
  </r>
  <r>
    <x v="1049"/>
    <s v="Karan Bhatt"/>
    <x v="2"/>
    <s v="Recruiter"/>
    <x v="0"/>
    <n v="54"/>
    <s v="Married"/>
    <s v="2019-12-08"/>
    <m/>
    <x v="1"/>
    <x v="1046"/>
    <n v="1"/>
    <x v="3"/>
    <x v="0"/>
    <n v="16"/>
    <n v="6.7"/>
    <s v="Medium"/>
  </r>
  <r>
    <x v="1050"/>
    <s v="Neha Chopra"/>
    <x v="0"/>
    <s v="Content Specialist"/>
    <x v="1"/>
    <n v="53"/>
    <s v="Single"/>
    <s v="2017-10-20"/>
    <s v="2021-10-22"/>
    <x v="0"/>
    <x v="1047"/>
    <n v="5"/>
    <x v="0"/>
    <x v="1"/>
    <n v="25"/>
    <n v="4"/>
    <s v="N/A"/>
  </r>
  <r>
    <x v="1051"/>
    <s v="Rita Nair"/>
    <x v="2"/>
    <s v="Recruiter"/>
    <x v="1"/>
    <n v="29"/>
    <s v="Single"/>
    <s v="2020-04-16"/>
    <m/>
    <x v="1"/>
    <x v="1048"/>
    <n v="3"/>
    <x v="3"/>
    <x v="1"/>
    <n v="27"/>
    <n v="6.3"/>
    <s v="High"/>
  </r>
  <r>
    <x v="1052"/>
    <s v="Sunil Patel"/>
    <x v="3"/>
    <s v="Operations Manager"/>
    <x v="0"/>
    <n v="50"/>
    <s v="Married"/>
    <s v="2017-10-01"/>
    <m/>
    <x v="1"/>
    <x v="1049"/>
    <n v="3"/>
    <x v="0"/>
    <x v="1"/>
    <n v="36"/>
    <n v="8.9"/>
    <s v="Medium"/>
  </r>
  <r>
    <x v="1053"/>
    <s v="Sunita Kapoor"/>
    <x v="1"/>
    <s v="Software Engineer"/>
    <x v="1"/>
    <n v="35"/>
    <s v="Single"/>
    <s v="2017-01-24"/>
    <m/>
    <x v="1"/>
    <x v="1050"/>
    <n v="4"/>
    <x v="4"/>
    <x v="1"/>
    <n v="24"/>
    <n v="9.5"/>
    <s v="High"/>
  </r>
  <r>
    <x v="1054"/>
    <s v="Nidhi Sharma"/>
    <x v="0"/>
    <s v="Marketing Manager"/>
    <x v="1"/>
    <n v="30"/>
    <s v="Single"/>
    <s v="2016-05-03"/>
    <m/>
    <x v="1"/>
    <x v="1051"/>
    <n v="4"/>
    <x v="2"/>
    <x v="0"/>
    <n v="32"/>
    <n v="10.3"/>
    <s v="Low"/>
  </r>
  <r>
    <x v="1055"/>
    <s v="Priya Chauhan"/>
    <x v="5"/>
    <s v="Account Manager"/>
    <x v="1"/>
    <n v="49"/>
    <s v="Divorced"/>
    <s v="2015-05-12"/>
    <m/>
    <x v="1"/>
    <x v="1052"/>
    <n v="5"/>
    <x v="1"/>
    <x v="0"/>
    <n v="32"/>
    <n v="11.2"/>
    <s v="Low"/>
  </r>
  <r>
    <x v="1056"/>
    <s v="Prakash Patel"/>
    <x v="5"/>
    <s v="Account Manager"/>
    <x v="0"/>
    <n v="57"/>
    <s v="Married"/>
    <s v="2023-10-03"/>
    <m/>
    <x v="1"/>
    <x v="1053"/>
    <n v="5"/>
    <x v="4"/>
    <x v="1"/>
    <n v="6"/>
    <n v="2.8"/>
    <s v="High"/>
  </r>
  <r>
    <x v="1057"/>
    <s v="Shweta Kapoor"/>
    <x v="1"/>
    <s v="Software Engineer"/>
    <x v="1"/>
    <n v="50"/>
    <s v="Divorced"/>
    <s v="2024-12-21"/>
    <m/>
    <x v="1"/>
    <x v="1054"/>
    <n v="3"/>
    <x v="4"/>
    <x v="0"/>
    <n v="5"/>
    <n v="1.6"/>
    <s v="Medium"/>
  </r>
  <r>
    <x v="1058"/>
    <s v="Priya Chopra"/>
    <x v="4"/>
    <s v="Finance Manager"/>
    <x v="1"/>
    <n v="58"/>
    <s v="Married"/>
    <s v="2018-04-18"/>
    <m/>
    <x v="1"/>
    <x v="1055"/>
    <n v="1"/>
    <x v="2"/>
    <x v="1"/>
    <n v="1"/>
    <n v="8.3000000000000007"/>
    <s v="Medium"/>
  </r>
  <r>
    <x v="1059"/>
    <s v="Ritu Kapoor"/>
    <x v="2"/>
    <s v="HR Executive"/>
    <x v="1"/>
    <n v="34"/>
    <s v="Single"/>
    <s v="2023-08-20"/>
    <m/>
    <x v="1"/>
    <x v="1056"/>
    <n v="5"/>
    <x v="1"/>
    <x v="0"/>
    <n v="10"/>
    <n v="3"/>
    <s v="Low"/>
  </r>
  <r>
    <x v="1060"/>
    <s v="Sunil Bhatt"/>
    <x v="1"/>
    <s v="Software Engineer"/>
    <x v="0"/>
    <n v="24"/>
    <s v="Married"/>
    <s v="2023-09-28"/>
    <m/>
    <x v="1"/>
    <x v="1057"/>
    <n v="1"/>
    <x v="1"/>
    <x v="1"/>
    <n v="21"/>
    <n v="2.9"/>
    <s v="Medium"/>
  </r>
  <r>
    <x v="1061"/>
    <s v="Deepak Joshi"/>
    <x v="0"/>
    <s v="Marketing Executive"/>
    <x v="0"/>
    <n v="49"/>
    <s v="Married"/>
    <s v="2018-01-15"/>
    <s v="2022-05-30"/>
    <x v="0"/>
    <x v="1058"/>
    <n v="3"/>
    <x v="4"/>
    <x v="1"/>
    <n v="2"/>
    <n v="4.4000000000000004"/>
    <s v="N/A"/>
  </r>
  <r>
    <x v="1062"/>
    <s v="Nikhil Verma"/>
    <x v="5"/>
    <s v="Sales Manager"/>
    <x v="0"/>
    <n v="50"/>
    <s v="Single"/>
    <s v="2019-12-02"/>
    <s v="2022-01-17"/>
    <x v="0"/>
    <x v="1059"/>
    <n v="4"/>
    <x v="4"/>
    <x v="0"/>
    <n v="38"/>
    <n v="2.1"/>
    <s v="N/A"/>
  </r>
  <r>
    <x v="1063"/>
    <s v="Rohan Gupta"/>
    <x v="3"/>
    <s v="Logistics Coordinator"/>
    <x v="0"/>
    <n v="29"/>
    <s v="Single"/>
    <s v="2020-06-26"/>
    <m/>
    <x v="1"/>
    <x v="1060"/>
    <n v="3"/>
    <x v="1"/>
    <x v="0"/>
    <n v="27"/>
    <n v="6.1"/>
    <s v="Low"/>
  </r>
  <r>
    <x v="1064"/>
    <s v="Shweta Pillai"/>
    <x v="3"/>
    <s v="Operations Manager"/>
    <x v="1"/>
    <n v="29"/>
    <s v="Single"/>
    <s v="2020-02-15"/>
    <m/>
    <x v="1"/>
    <x v="1061"/>
    <n v="4"/>
    <x v="2"/>
    <x v="1"/>
    <n v="26"/>
    <n v="6.5"/>
    <s v="Medium"/>
  </r>
  <r>
    <x v="1065"/>
    <s v="Anita Mehta"/>
    <x v="2"/>
    <s v="HR Executive"/>
    <x v="1"/>
    <n v="27"/>
    <s v="Married"/>
    <s v="2022-04-18"/>
    <m/>
    <x v="1"/>
    <x v="1062"/>
    <n v="4"/>
    <x v="2"/>
    <x v="0"/>
    <n v="2"/>
    <n v="4.3"/>
    <s v="Low"/>
  </r>
  <r>
    <x v="1066"/>
    <s v="Sanjay Joshi"/>
    <x v="2"/>
    <s v="HR Executive"/>
    <x v="0"/>
    <n v="58"/>
    <s v="Single"/>
    <s v="2015-02-07"/>
    <s v="2019-12-21"/>
    <x v="0"/>
    <x v="1063"/>
    <n v="2"/>
    <x v="4"/>
    <x v="1"/>
    <n v="45"/>
    <n v="4.9000000000000004"/>
    <s v="N/A"/>
  </r>
  <r>
    <x v="1067"/>
    <s v="Sunita Bhatt"/>
    <x v="0"/>
    <s v="Content Specialist"/>
    <x v="1"/>
    <n v="48"/>
    <s v="Divorced"/>
    <s v="2024-03-26"/>
    <m/>
    <x v="1"/>
    <x v="1064"/>
    <n v="2"/>
    <x v="4"/>
    <x v="1"/>
    <n v="34"/>
    <n v="2.4"/>
    <s v="High"/>
  </r>
  <r>
    <x v="1068"/>
    <s v="Pooja Joshi"/>
    <x v="0"/>
    <s v="Marketing Executive"/>
    <x v="1"/>
    <n v="23"/>
    <s v="Married"/>
    <s v="2020-07-30"/>
    <s v="2021-01-11"/>
    <x v="0"/>
    <x v="1065"/>
    <n v="3"/>
    <x v="2"/>
    <x v="1"/>
    <n v="17"/>
    <n v="0.5"/>
    <s v="N/A"/>
  </r>
  <r>
    <x v="1069"/>
    <s v="Neha Singh"/>
    <x v="2"/>
    <s v="HR Executive"/>
    <x v="1"/>
    <n v="48"/>
    <s v="Single"/>
    <s v="2015-07-10"/>
    <s v="2025-09-29"/>
    <x v="0"/>
    <x v="1066"/>
    <n v="5"/>
    <x v="0"/>
    <x v="0"/>
    <n v="11"/>
    <n v="10.199999999999999"/>
    <s v="N/A"/>
  </r>
  <r>
    <x v="1070"/>
    <s v="Anjali Kumar"/>
    <x v="1"/>
    <s v="Software Engineer"/>
    <x v="1"/>
    <n v="52"/>
    <s v="Divorced"/>
    <s v="2020-03-17"/>
    <m/>
    <x v="1"/>
    <x v="1067"/>
    <n v="4"/>
    <x v="0"/>
    <x v="0"/>
    <n v="9"/>
    <n v="6.4"/>
    <s v="Low"/>
  </r>
  <r>
    <x v="1071"/>
    <s v="Komal Rao"/>
    <x v="5"/>
    <s v="Sales Manager"/>
    <x v="1"/>
    <n v="30"/>
    <s v="Single"/>
    <s v="2018-08-15"/>
    <m/>
    <x v="1"/>
    <x v="1068"/>
    <n v="5"/>
    <x v="1"/>
    <x v="0"/>
    <n v="43"/>
    <n v="8"/>
    <s v="Low"/>
  </r>
  <r>
    <x v="1072"/>
    <s v="Arjun Mehta"/>
    <x v="0"/>
    <s v="Content Specialist"/>
    <x v="0"/>
    <n v="54"/>
    <s v="Divorced"/>
    <s v="2016-06-15"/>
    <s v="2021-02-23"/>
    <x v="0"/>
    <x v="1069"/>
    <n v="2"/>
    <x v="4"/>
    <x v="0"/>
    <n v="43"/>
    <n v="4.7"/>
    <s v="N/A"/>
  </r>
  <r>
    <x v="1073"/>
    <s v="Sanjay Mehta"/>
    <x v="2"/>
    <s v="Recruiter"/>
    <x v="0"/>
    <n v="38"/>
    <s v="Divorced"/>
    <s v="2017-01-26"/>
    <m/>
    <x v="1"/>
    <x v="1070"/>
    <n v="3"/>
    <x v="1"/>
    <x v="0"/>
    <n v="30"/>
    <n v="9.5"/>
    <s v="Low"/>
  </r>
  <r>
    <x v="1074"/>
    <s v="Anil Malhotra"/>
    <x v="3"/>
    <s v="Operations Manager"/>
    <x v="0"/>
    <n v="45"/>
    <s v="Single"/>
    <s v="2022-06-01"/>
    <m/>
    <x v="1"/>
    <x v="1071"/>
    <n v="4"/>
    <x v="3"/>
    <x v="1"/>
    <n v="41"/>
    <n v="4.2"/>
    <s v="High"/>
  </r>
  <r>
    <x v="1075"/>
    <s v="Sanjay Joshi"/>
    <x v="5"/>
    <s v="Sales Executive"/>
    <x v="0"/>
    <n v="47"/>
    <s v="Divorced"/>
    <s v="2018-08-14"/>
    <m/>
    <x v="1"/>
    <x v="1072"/>
    <n v="4"/>
    <x v="2"/>
    <x v="1"/>
    <n v="23"/>
    <n v="8"/>
    <s v="Medium"/>
  </r>
  <r>
    <x v="1076"/>
    <s v="Meena Kapoor"/>
    <x v="3"/>
    <s v="Operations Manager"/>
    <x v="1"/>
    <n v="38"/>
    <s v="Single"/>
    <s v="2021-02-13"/>
    <m/>
    <x v="1"/>
    <x v="1073"/>
    <n v="5"/>
    <x v="1"/>
    <x v="0"/>
    <n v="22"/>
    <n v="5.5"/>
    <s v="Low"/>
  </r>
  <r>
    <x v="1077"/>
    <s v="Pooja Reddy"/>
    <x v="4"/>
    <s v="Finance Manager"/>
    <x v="1"/>
    <n v="55"/>
    <s v="Divorced"/>
    <s v="2017-12-12"/>
    <s v="2020-08-28"/>
    <x v="0"/>
    <x v="1074"/>
    <n v="4"/>
    <x v="1"/>
    <x v="1"/>
    <n v="42"/>
    <n v="2.7"/>
    <s v="N/A"/>
  </r>
  <r>
    <x v="1078"/>
    <s v="Sunil Nair"/>
    <x v="4"/>
    <s v="Financial Analyst"/>
    <x v="0"/>
    <n v="30"/>
    <s v="Single"/>
    <s v="2024-10-17"/>
    <m/>
    <x v="1"/>
    <x v="1075"/>
    <n v="4"/>
    <x v="2"/>
    <x v="1"/>
    <n v="36"/>
    <n v="1.8"/>
    <s v="Medium"/>
  </r>
  <r>
    <x v="1079"/>
    <s v="Payal Gupta"/>
    <x v="3"/>
    <s v="Operations Executive"/>
    <x v="1"/>
    <n v="31"/>
    <s v="Divorced"/>
    <s v="2024-06-02"/>
    <m/>
    <x v="1"/>
    <x v="1076"/>
    <n v="2"/>
    <x v="3"/>
    <x v="0"/>
    <n v="23"/>
    <n v="2.2000000000000002"/>
    <s v="Medium"/>
  </r>
  <r>
    <x v="1080"/>
    <s v="Sunil Iyer"/>
    <x v="3"/>
    <s v="Logistics Coordinator"/>
    <x v="0"/>
    <n v="56"/>
    <s v="Single"/>
    <s v="2017-08-01"/>
    <m/>
    <x v="1"/>
    <x v="1077"/>
    <n v="2"/>
    <x v="0"/>
    <x v="0"/>
    <n v="24"/>
    <n v="9"/>
    <s v="Low"/>
  </r>
  <r>
    <x v="1081"/>
    <s v="Arjun Bose"/>
    <x v="0"/>
    <s v="Content Specialist"/>
    <x v="0"/>
    <n v="49"/>
    <s v="Divorced"/>
    <s v="2024-08-16"/>
    <m/>
    <x v="1"/>
    <x v="1078"/>
    <n v="4"/>
    <x v="3"/>
    <x v="1"/>
    <n v="19"/>
    <n v="2"/>
    <s v="High"/>
  </r>
  <r>
    <x v="1082"/>
    <s v="Sneha Nair"/>
    <x v="4"/>
    <s v="Accountant"/>
    <x v="1"/>
    <n v="22"/>
    <s v="Divorced"/>
    <s v="2015-11-03"/>
    <m/>
    <x v="1"/>
    <x v="771"/>
    <n v="3"/>
    <x v="0"/>
    <x v="1"/>
    <n v="14"/>
    <n v="10.8"/>
    <s v="Medium"/>
  </r>
  <r>
    <x v="1083"/>
    <s v="Sneha Singh"/>
    <x v="5"/>
    <s v="Sales Executive"/>
    <x v="1"/>
    <n v="52"/>
    <s v="Married"/>
    <s v="2024-03-22"/>
    <s v="2024-12-05"/>
    <x v="0"/>
    <x v="1079"/>
    <n v="4"/>
    <x v="4"/>
    <x v="1"/>
    <n v="11"/>
    <n v="0.7"/>
    <s v="N/A"/>
  </r>
  <r>
    <x v="1084"/>
    <s v="Sanjay Rao"/>
    <x v="1"/>
    <s v="System Analyst"/>
    <x v="0"/>
    <n v="30"/>
    <s v="Single"/>
    <s v="2025-01-04"/>
    <m/>
    <x v="1"/>
    <x v="1080"/>
    <n v="2"/>
    <x v="0"/>
    <x v="0"/>
    <n v="14"/>
    <n v="1.6"/>
    <s v="Low"/>
  </r>
  <r>
    <x v="1085"/>
    <s v="Rajesh Nair"/>
    <x v="2"/>
    <s v="HR Executive"/>
    <x v="0"/>
    <n v="55"/>
    <s v="Married"/>
    <s v="2016-02-25"/>
    <m/>
    <x v="1"/>
    <x v="1081"/>
    <n v="4"/>
    <x v="0"/>
    <x v="0"/>
    <n v="15"/>
    <n v="10.5"/>
    <s v="Low"/>
  </r>
  <r>
    <x v="1086"/>
    <s v="Sneha Patel"/>
    <x v="5"/>
    <s v="Account Manager"/>
    <x v="1"/>
    <n v="43"/>
    <s v="Divorced"/>
    <s v="2024-10-24"/>
    <m/>
    <x v="1"/>
    <x v="1082"/>
    <n v="4"/>
    <x v="3"/>
    <x v="1"/>
    <n v="17"/>
    <n v="1.8"/>
    <s v="High"/>
  </r>
  <r>
    <x v="1087"/>
    <s v="Anita Mehta"/>
    <x v="3"/>
    <s v="Operations Executive"/>
    <x v="1"/>
    <n v="55"/>
    <s v="Divorced"/>
    <s v="2016-02-27"/>
    <m/>
    <x v="1"/>
    <x v="1083"/>
    <n v="5"/>
    <x v="0"/>
    <x v="1"/>
    <n v="24"/>
    <n v="10.4"/>
    <s v="Medium"/>
  </r>
  <r>
    <x v="1088"/>
    <s v="Neha Kumar"/>
    <x v="0"/>
    <s v="Marketing Manager"/>
    <x v="1"/>
    <n v="39"/>
    <s v="Married"/>
    <s v="2024-06-12"/>
    <m/>
    <x v="1"/>
    <x v="1084"/>
    <n v="3"/>
    <x v="1"/>
    <x v="0"/>
    <n v="41"/>
    <n v="2.2000000000000002"/>
    <s v="Low"/>
  </r>
  <r>
    <x v="1089"/>
    <s v="Rahul Kumar"/>
    <x v="2"/>
    <s v="HR Manager"/>
    <x v="0"/>
    <n v="53"/>
    <s v="Married"/>
    <s v="2017-09-21"/>
    <s v="2025-10-31"/>
    <x v="0"/>
    <x v="1085"/>
    <n v="5"/>
    <x v="4"/>
    <x v="0"/>
    <n v="28"/>
    <n v="8.1"/>
    <s v="N/A"/>
  </r>
  <r>
    <x v="1090"/>
    <s v="Nidhi Pillai"/>
    <x v="4"/>
    <s v="Finance Manager"/>
    <x v="1"/>
    <n v="46"/>
    <s v="Single"/>
    <s v="2015-06-22"/>
    <m/>
    <x v="1"/>
    <x v="1086"/>
    <n v="1"/>
    <x v="0"/>
    <x v="0"/>
    <n v="37"/>
    <n v="11.1"/>
    <s v="Low"/>
  </r>
  <r>
    <x v="1091"/>
    <s v="Swati Verma"/>
    <x v="1"/>
    <s v="System Analyst"/>
    <x v="1"/>
    <n v="44"/>
    <s v="Married"/>
    <s v="2022-04-04"/>
    <m/>
    <x v="1"/>
    <x v="1087"/>
    <n v="5"/>
    <x v="2"/>
    <x v="0"/>
    <n v="34"/>
    <n v="4.3"/>
    <s v="Low"/>
  </r>
  <r>
    <x v="1092"/>
    <s v="Priya Gupta"/>
    <x v="0"/>
    <s v="Content Specialist"/>
    <x v="1"/>
    <n v="58"/>
    <s v="Married"/>
    <s v="2017-01-10"/>
    <m/>
    <x v="1"/>
    <x v="1088"/>
    <n v="1"/>
    <x v="1"/>
    <x v="1"/>
    <n v="19"/>
    <n v="9.6"/>
    <s v="Medium"/>
  </r>
  <r>
    <x v="1093"/>
    <s v="Sunita Iyer"/>
    <x v="0"/>
    <s v="Marketing Manager"/>
    <x v="1"/>
    <n v="44"/>
    <s v="Divorced"/>
    <s v="2017-10-15"/>
    <s v="2019-10-02"/>
    <x v="0"/>
    <x v="1089"/>
    <n v="3"/>
    <x v="3"/>
    <x v="1"/>
    <n v="30"/>
    <n v="2"/>
    <s v="N/A"/>
  </r>
  <r>
    <x v="1094"/>
    <s v="Swati Iyer"/>
    <x v="1"/>
    <s v="IT Support"/>
    <x v="1"/>
    <n v="33"/>
    <s v="Divorced"/>
    <s v="2024-06-21"/>
    <m/>
    <x v="1"/>
    <x v="1090"/>
    <n v="3"/>
    <x v="3"/>
    <x v="0"/>
    <n v="23"/>
    <n v="2.1"/>
    <s v="Medium"/>
  </r>
  <r>
    <x v="1095"/>
    <s v="Pooja Patel"/>
    <x v="1"/>
    <s v="System Analyst"/>
    <x v="1"/>
    <n v="47"/>
    <s v="Divorced"/>
    <s v="2018-07-05"/>
    <m/>
    <x v="1"/>
    <x v="1091"/>
    <n v="4"/>
    <x v="4"/>
    <x v="0"/>
    <n v="13"/>
    <n v="8.1"/>
    <s v="Medium"/>
  </r>
  <r>
    <x v="1096"/>
    <s v="Kavita Joshi"/>
    <x v="2"/>
    <s v="HR Manager"/>
    <x v="1"/>
    <n v="42"/>
    <s v="Divorced"/>
    <s v="2015-03-07"/>
    <m/>
    <x v="1"/>
    <x v="1092"/>
    <n v="3"/>
    <x v="0"/>
    <x v="1"/>
    <n v="33"/>
    <n v="11.4"/>
    <s v="Medium"/>
  </r>
  <r>
    <x v="1097"/>
    <s v="Nikhil Bhatt"/>
    <x v="3"/>
    <s v="Logistics Coordinator"/>
    <x v="0"/>
    <n v="26"/>
    <s v="Divorced"/>
    <s v="2017-03-24"/>
    <m/>
    <x v="1"/>
    <x v="1093"/>
    <n v="4"/>
    <x v="0"/>
    <x v="1"/>
    <n v="17"/>
    <n v="9.4"/>
    <s v="Medium"/>
  </r>
  <r>
    <x v="1098"/>
    <s v="Nikhil Kumar"/>
    <x v="2"/>
    <s v="HR Manager"/>
    <x v="0"/>
    <n v="40"/>
    <s v="Single"/>
    <s v="2021-11-17"/>
    <s v="2022-11-29"/>
    <x v="0"/>
    <x v="1094"/>
    <n v="3"/>
    <x v="3"/>
    <x v="0"/>
    <n v="15"/>
    <n v="1"/>
    <s v="N/A"/>
  </r>
  <r>
    <x v="1099"/>
    <s v="Gaurav Mehta"/>
    <x v="0"/>
    <s v="Marketing Manager"/>
    <x v="0"/>
    <n v="36"/>
    <s v="Married"/>
    <s v="2017-10-01"/>
    <m/>
    <x v="1"/>
    <x v="1095"/>
    <n v="2"/>
    <x v="2"/>
    <x v="0"/>
    <n v="10"/>
    <n v="8.9"/>
    <s v="Low"/>
  </r>
  <r>
    <x v="1100"/>
    <s v="Rita Malhotra"/>
    <x v="5"/>
    <s v="Account Manager"/>
    <x v="1"/>
    <n v="57"/>
    <s v="Divorced"/>
    <s v="2021-03-07"/>
    <m/>
    <x v="1"/>
    <x v="1096"/>
    <n v="4"/>
    <x v="4"/>
    <x v="0"/>
    <n v="12"/>
    <n v="5.4"/>
    <s v="Medium"/>
  </r>
  <r>
    <x v="1101"/>
    <s v="Shweta Iyer"/>
    <x v="0"/>
    <s v="Content Specialist"/>
    <x v="1"/>
    <n v="38"/>
    <s v="Single"/>
    <s v="2019-11-02"/>
    <m/>
    <x v="1"/>
    <x v="1097"/>
    <n v="3"/>
    <x v="4"/>
    <x v="0"/>
    <n v="35"/>
    <n v="6.8"/>
    <s v="Medium"/>
  </r>
  <r>
    <x v="1102"/>
    <s v="Sunil Chauhan"/>
    <x v="1"/>
    <s v="System Analyst"/>
    <x v="0"/>
    <n v="30"/>
    <s v="Single"/>
    <s v="2016-01-31"/>
    <m/>
    <x v="1"/>
    <x v="1098"/>
    <n v="4"/>
    <x v="0"/>
    <x v="0"/>
    <n v="35"/>
    <n v="10.5"/>
    <s v="Low"/>
  </r>
  <r>
    <x v="1103"/>
    <s v="Ritu Mehta"/>
    <x v="3"/>
    <s v="Operations Executive"/>
    <x v="1"/>
    <n v="51"/>
    <s v="Married"/>
    <s v="2018-01-07"/>
    <m/>
    <x v="1"/>
    <x v="1099"/>
    <n v="4"/>
    <x v="3"/>
    <x v="0"/>
    <n v="40"/>
    <n v="8.6"/>
    <s v="Medium"/>
  </r>
  <r>
    <x v="1104"/>
    <s v="Sunil Kapoor"/>
    <x v="5"/>
    <s v="Sales Executive"/>
    <x v="0"/>
    <n v="57"/>
    <s v="Divorced"/>
    <s v="2022-04-17"/>
    <m/>
    <x v="1"/>
    <x v="1100"/>
    <n v="4"/>
    <x v="1"/>
    <x v="1"/>
    <n v="10"/>
    <n v="4.3"/>
    <s v="Medium"/>
  </r>
  <r>
    <x v="1105"/>
    <s v="Priya Bhatt"/>
    <x v="0"/>
    <s v="Marketing Manager"/>
    <x v="1"/>
    <n v="53"/>
    <s v="Married"/>
    <s v="2019-10-31"/>
    <s v="2023-05-30"/>
    <x v="0"/>
    <x v="1101"/>
    <n v="4"/>
    <x v="4"/>
    <x v="0"/>
    <n v="14"/>
    <n v="3.6"/>
    <s v="N/A"/>
  </r>
  <r>
    <x v="1106"/>
    <s v="Sneha Bose"/>
    <x v="2"/>
    <s v="HR Executive"/>
    <x v="1"/>
    <n v="42"/>
    <s v="Single"/>
    <s v="2024-09-03"/>
    <m/>
    <x v="1"/>
    <x v="1102"/>
    <n v="1"/>
    <x v="0"/>
    <x v="1"/>
    <n v="23"/>
    <n v="1.9"/>
    <s v="Medium"/>
  </r>
  <r>
    <x v="1107"/>
    <s v="Rajesh Malhotra"/>
    <x v="5"/>
    <s v="Account Manager"/>
    <x v="0"/>
    <n v="32"/>
    <s v="Divorced"/>
    <s v="2023-03-20"/>
    <m/>
    <x v="1"/>
    <x v="1103"/>
    <n v="2"/>
    <x v="0"/>
    <x v="1"/>
    <n v="12"/>
    <n v="3.4"/>
    <s v="Medium"/>
  </r>
  <r>
    <x v="1108"/>
    <s v="Anjali Kumar"/>
    <x v="0"/>
    <s v="Marketing Executive"/>
    <x v="1"/>
    <n v="47"/>
    <s v="Married"/>
    <s v="2021-06-09"/>
    <s v="2023-07-12"/>
    <x v="0"/>
    <x v="1104"/>
    <n v="4"/>
    <x v="2"/>
    <x v="0"/>
    <n v="25"/>
    <n v="2.1"/>
    <s v="N/A"/>
  </r>
  <r>
    <x v="1109"/>
    <s v="Sunita Joshi"/>
    <x v="1"/>
    <s v="Software Engineer"/>
    <x v="1"/>
    <n v="49"/>
    <s v="Single"/>
    <s v="2024-11-09"/>
    <s v="2025-04-01"/>
    <x v="0"/>
    <x v="1105"/>
    <n v="2"/>
    <x v="3"/>
    <x v="1"/>
    <n v="17"/>
    <n v="0.4"/>
    <s v="N/A"/>
  </r>
  <r>
    <x v="1110"/>
    <s v="Rajesh Rao"/>
    <x v="2"/>
    <s v="HR Manager"/>
    <x v="0"/>
    <n v="23"/>
    <s v="Single"/>
    <s v="2024-11-10"/>
    <s v="2026-07-04"/>
    <x v="0"/>
    <x v="1106"/>
    <n v="1"/>
    <x v="0"/>
    <x v="0"/>
    <n v="44"/>
    <n v="1.6"/>
    <s v="N/A"/>
  </r>
  <r>
    <x v="1111"/>
    <s v="Swati Nair"/>
    <x v="5"/>
    <s v="Sales Executive"/>
    <x v="1"/>
    <n v="23"/>
    <s v="Single"/>
    <s v="2023-12-21"/>
    <m/>
    <x v="1"/>
    <x v="1107"/>
    <n v="3"/>
    <x v="0"/>
    <x v="0"/>
    <n v="5"/>
    <n v="2.6"/>
    <s v="Low"/>
  </r>
  <r>
    <x v="1112"/>
    <s v="Ajay Kumar"/>
    <x v="4"/>
    <s v="Financial Analyst"/>
    <x v="0"/>
    <n v="31"/>
    <s v="Single"/>
    <s v="2021-09-22"/>
    <m/>
    <x v="1"/>
    <x v="1108"/>
    <n v="4"/>
    <x v="4"/>
    <x v="0"/>
    <n v="12"/>
    <n v="4.9000000000000004"/>
    <s v="Medium"/>
  </r>
  <r>
    <x v="1113"/>
    <s v="Sunil Kumar"/>
    <x v="4"/>
    <s v="Financial Analyst"/>
    <x v="0"/>
    <n v="41"/>
    <s v="Single"/>
    <s v="2025-06-26"/>
    <m/>
    <x v="1"/>
    <x v="1109"/>
    <n v="2"/>
    <x v="1"/>
    <x v="1"/>
    <n v="38"/>
    <n v="1.1000000000000001"/>
    <s v="Medium"/>
  </r>
  <r>
    <x v="1114"/>
    <s v="Ashok Reddy"/>
    <x v="4"/>
    <s v="Financial Analyst"/>
    <x v="0"/>
    <n v="51"/>
    <s v="Divorced"/>
    <s v="2025-05-31"/>
    <s v="2025-12-03"/>
    <x v="0"/>
    <x v="1110"/>
    <n v="4"/>
    <x v="2"/>
    <x v="0"/>
    <n v="8"/>
    <n v="0.5"/>
    <s v="N/A"/>
  </r>
  <r>
    <x v="1115"/>
    <s v="Gaurav Gupta"/>
    <x v="2"/>
    <s v="HR Executive"/>
    <x v="0"/>
    <n v="47"/>
    <s v="Divorced"/>
    <s v="2015-06-20"/>
    <s v="2022-12-22"/>
    <x v="0"/>
    <x v="1111"/>
    <n v="5"/>
    <x v="2"/>
    <x v="0"/>
    <n v="7"/>
    <n v="7.5"/>
    <s v="N/A"/>
  </r>
  <r>
    <x v="1116"/>
    <s v="Ritu Gupta"/>
    <x v="2"/>
    <s v="Recruiter"/>
    <x v="1"/>
    <n v="40"/>
    <s v="Married"/>
    <s v="2018-08-05"/>
    <s v="2019-09-06"/>
    <x v="0"/>
    <x v="1112"/>
    <n v="3"/>
    <x v="4"/>
    <x v="1"/>
    <n v="41"/>
    <n v="1.1000000000000001"/>
    <s v="N/A"/>
  </r>
  <r>
    <x v="1117"/>
    <s v="Pooja Reddy"/>
    <x v="4"/>
    <s v="Financial Analyst"/>
    <x v="1"/>
    <n v="57"/>
    <s v="Divorced"/>
    <s v="2020-06-05"/>
    <m/>
    <x v="1"/>
    <x v="1113"/>
    <n v="4"/>
    <x v="1"/>
    <x v="0"/>
    <n v="19"/>
    <n v="6.2"/>
    <s v="Low"/>
  </r>
  <r>
    <x v="1118"/>
    <s v="Vikram Nair"/>
    <x v="3"/>
    <s v="Operations Executive"/>
    <x v="0"/>
    <n v="58"/>
    <s v="Single"/>
    <s v="2021-02-01"/>
    <m/>
    <x v="1"/>
    <x v="1114"/>
    <n v="1"/>
    <x v="1"/>
    <x v="1"/>
    <n v="35"/>
    <n v="5.5"/>
    <s v="Medium"/>
  </r>
  <r>
    <x v="1119"/>
    <s v="Ritu Verma"/>
    <x v="4"/>
    <s v="Financial Analyst"/>
    <x v="1"/>
    <n v="49"/>
    <s v="Divorced"/>
    <s v="2023-04-14"/>
    <s v="2024-08-25"/>
    <x v="0"/>
    <x v="1115"/>
    <n v="5"/>
    <x v="4"/>
    <x v="0"/>
    <n v="24"/>
    <n v="1.4"/>
    <s v="N/A"/>
  </r>
  <r>
    <x v="1120"/>
    <s v="Sanjay Reddy"/>
    <x v="5"/>
    <s v="Sales Manager"/>
    <x v="0"/>
    <n v="26"/>
    <s v="Single"/>
    <s v="2023-01-03"/>
    <s v="2025-04-23"/>
    <x v="0"/>
    <x v="1116"/>
    <n v="5"/>
    <x v="4"/>
    <x v="1"/>
    <n v="41"/>
    <n v="2.2999999999999998"/>
    <s v="N/A"/>
  </r>
  <r>
    <x v="1121"/>
    <s v="Deepak Sharma"/>
    <x v="1"/>
    <s v="IT Support"/>
    <x v="0"/>
    <n v="37"/>
    <s v="Single"/>
    <s v="2022-05-25"/>
    <m/>
    <x v="1"/>
    <x v="1117"/>
    <n v="2"/>
    <x v="1"/>
    <x v="0"/>
    <n v="25"/>
    <n v="4.2"/>
    <s v="Low"/>
  </r>
  <r>
    <x v="1122"/>
    <s v="Arjun Bhatt"/>
    <x v="4"/>
    <s v="Financial Analyst"/>
    <x v="0"/>
    <n v="37"/>
    <s v="Single"/>
    <s v="2021-12-21"/>
    <m/>
    <x v="1"/>
    <x v="1118"/>
    <n v="5"/>
    <x v="2"/>
    <x v="0"/>
    <n v="41"/>
    <n v="4.5999999999999996"/>
    <s v="Low"/>
  </r>
  <r>
    <x v="1123"/>
    <s v="Nisha Sharma"/>
    <x v="0"/>
    <s v="Content Specialist"/>
    <x v="1"/>
    <n v="48"/>
    <s v="Divorced"/>
    <s v="2024-03-27"/>
    <s v="2026-05-05"/>
    <x v="0"/>
    <x v="1119"/>
    <n v="2"/>
    <x v="1"/>
    <x v="0"/>
    <n v="32"/>
    <n v="2.1"/>
    <s v="N/A"/>
  </r>
  <r>
    <x v="1124"/>
    <s v="Sneha Mehta"/>
    <x v="4"/>
    <s v="Financial Analyst"/>
    <x v="1"/>
    <n v="26"/>
    <s v="Divorced"/>
    <s v="2022-02-24"/>
    <s v="2026-06-18"/>
    <x v="0"/>
    <x v="1120"/>
    <n v="4"/>
    <x v="4"/>
    <x v="1"/>
    <n v="5"/>
    <n v="4.3"/>
    <s v="N/A"/>
  </r>
  <r>
    <x v="1125"/>
    <s v="Anita Bose"/>
    <x v="2"/>
    <s v="Recruiter"/>
    <x v="1"/>
    <n v="40"/>
    <s v="Single"/>
    <s v="2018-03-12"/>
    <m/>
    <x v="1"/>
    <x v="1121"/>
    <n v="1"/>
    <x v="1"/>
    <x v="0"/>
    <n v="8"/>
    <n v="8.4"/>
    <s v="Low"/>
  </r>
  <r>
    <x v="1126"/>
    <s v="Arjun Pillai"/>
    <x v="3"/>
    <s v="Operations Manager"/>
    <x v="0"/>
    <n v="24"/>
    <s v="Married"/>
    <s v="2020-04-04"/>
    <s v="2021-03-06"/>
    <x v="0"/>
    <x v="1122"/>
    <n v="2"/>
    <x v="3"/>
    <x v="0"/>
    <n v="3"/>
    <n v="0.9"/>
    <s v="N/A"/>
  </r>
  <r>
    <x v="1127"/>
    <s v="Rita Singh"/>
    <x v="1"/>
    <s v="System Analyst"/>
    <x v="1"/>
    <n v="50"/>
    <s v="Married"/>
    <s v="2021-09-11"/>
    <s v="2021-12-09"/>
    <x v="0"/>
    <x v="1123"/>
    <n v="2"/>
    <x v="0"/>
    <x v="0"/>
    <n v="14"/>
    <n v="0.2"/>
    <s v="N/A"/>
  </r>
  <r>
    <x v="1128"/>
    <s v="Kavita Iyer"/>
    <x v="1"/>
    <s v="System Analyst"/>
    <x v="1"/>
    <n v="51"/>
    <s v="Married"/>
    <s v="2017-04-01"/>
    <m/>
    <x v="1"/>
    <x v="1124"/>
    <n v="4"/>
    <x v="3"/>
    <x v="0"/>
    <n v="25"/>
    <n v="9.4"/>
    <s v="Medium"/>
  </r>
  <r>
    <x v="1129"/>
    <s v="Anil Kapoor"/>
    <x v="1"/>
    <s v="Software Engineer"/>
    <x v="0"/>
    <n v="23"/>
    <s v="Divorced"/>
    <s v="2024-10-08"/>
    <s v="2026-06-20"/>
    <x v="0"/>
    <x v="1125"/>
    <n v="5"/>
    <x v="4"/>
    <x v="0"/>
    <n v="34"/>
    <n v="1.7"/>
    <s v="N/A"/>
  </r>
  <r>
    <x v="1130"/>
    <s v="Vikram Malhotra"/>
    <x v="2"/>
    <s v="HR Executive"/>
    <x v="0"/>
    <n v="55"/>
    <s v="Single"/>
    <s v="2020-12-28"/>
    <m/>
    <x v="1"/>
    <x v="1126"/>
    <n v="3"/>
    <x v="4"/>
    <x v="1"/>
    <n v="24"/>
    <n v="5.6"/>
    <s v="High"/>
  </r>
  <r>
    <x v="1131"/>
    <s v="Nikhil Sharma"/>
    <x v="0"/>
    <s v="Marketing Executive"/>
    <x v="0"/>
    <n v="58"/>
    <s v="Divorced"/>
    <s v="2015-08-28"/>
    <s v="2021-12-08"/>
    <x v="0"/>
    <x v="1127"/>
    <n v="1"/>
    <x v="0"/>
    <x v="0"/>
    <n v="15"/>
    <n v="6.3"/>
    <s v="N/A"/>
  </r>
  <r>
    <x v="1132"/>
    <s v="Seema Chopra"/>
    <x v="5"/>
    <s v="Sales Executive"/>
    <x v="1"/>
    <n v="40"/>
    <s v="Divorced"/>
    <s v="2022-09-09"/>
    <m/>
    <x v="1"/>
    <x v="1128"/>
    <n v="2"/>
    <x v="2"/>
    <x v="0"/>
    <n v="44"/>
    <n v="3.9"/>
    <s v="Low"/>
  </r>
  <r>
    <x v="1133"/>
    <s v="Sneha Kapoor"/>
    <x v="0"/>
    <s v="Marketing Manager"/>
    <x v="1"/>
    <n v="56"/>
    <s v="Single"/>
    <s v="2024-11-11"/>
    <m/>
    <x v="1"/>
    <x v="1129"/>
    <n v="3"/>
    <x v="4"/>
    <x v="0"/>
    <n v="41"/>
    <n v="1.7"/>
    <s v="Medium"/>
  </r>
  <r>
    <x v="1134"/>
    <s v="Ajay Sharma"/>
    <x v="4"/>
    <s v="Accountant"/>
    <x v="0"/>
    <n v="49"/>
    <s v="Divorced"/>
    <s v="2024-01-13"/>
    <m/>
    <x v="1"/>
    <x v="1130"/>
    <n v="4"/>
    <x v="3"/>
    <x v="1"/>
    <n v="27"/>
    <n v="2.6"/>
    <s v="High"/>
  </r>
  <r>
    <x v="1135"/>
    <s v="Meena Chopra"/>
    <x v="4"/>
    <s v="Financial Analyst"/>
    <x v="1"/>
    <n v="48"/>
    <s v="Married"/>
    <s v="2024-11-28"/>
    <m/>
    <x v="1"/>
    <x v="1131"/>
    <n v="4"/>
    <x v="2"/>
    <x v="0"/>
    <n v="25"/>
    <n v="1.7"/>
    <s v="Low"/>
  </r>
  <r>
    <x v="1136"/>
    <s v="Rajesh Gupta"/>
    <x v="0"/>
    <s v="Marketing Manager"/>
    <x v="0"/>
    <n v="37"/>
    <s v="Divorced"/>
    <s v="2017-06-07"/>
    <m/>
    <x v="1"/>
    <x v="1132"/>
    <n v="2"/>
    <x v="0"/>
    <x v="0"/>
    <n v="43"/>
    <n v="9.1999999999999993"/>
    <s v="Low"/>
  </r>
  <r>
    <x v="1137"/>
    <s v="Sunita Nair"/>
    <x v="4"/>
    <s v="Finance Manager"/>
    <x v="1"/>
    <n v="35"/>
    <s v="Married"/>
    <s v="2019-05-29"/>
    <m/>
    <x v="1"/>
    <x v="1133"/>
    <n v="5"/>
    <x v="3"/>
    <x v="1"/>
    <n v="42"/>
    <n v="7.2"/>
    <s v="High"/>
  </r>
  <r>
    <x v="1138"/>
    <s v="Karan Gupta"/>
    <x v="3"/>
    <s v="Operations Manager"/>
    <x v="0"/>
    <n v="43"/>
    <s v="Married"/>
    <s v="2021-03-09"/>
    <s v="2022-07-04"/>
    <x v="0"/>
    <x v="1134"/>
    <n v="5"/>
    <x v="2"/>
    <x v="0"/>
    <n v="28"/>
    <n v="1.3"/>
    <s v="N/A"/>
  </r>
  <r>
    <x v="1139"/>
    <s v="Manoj Chauhan"/>
    <x v="4"/>
    <s v="Finance Manager"/>
    <x v="0"/>
    <n v="31"/>
    <s v="Married"/>
    <s v="2022-03-11"/>
    <s v="2026-06-30"/>
    <x v="0"/>
    <x v="1135"/>
    <n v="2"/>
    <x v="4"/>
    <x v="0"/>
    <n v="27"/>
    <n v="4.3"/>
    <s v="N/A"/>
  </r>
  <r>
    <x v="1140"/>
    <s v="Nidhi Bhatt"/>
    <x v="1"/>
    <s v="System Analyst"/>
    <x v="1"/>
    <n v="55"/>
    <s v="Single"/>
    <s v="2023-03-31"/>
    <s v="2023-09-15"/>
    <x v="0"/>
    <x v="1136"/>
    <n v="1"/>
    <x v="3"/>
    <x v="0"/>
    <n v="5"/>
    <n v="0.5"/>
    <s v="N/A"/>
  </r>
  <r>
    <x v="1141"/>
    <s v="Sunita Gupta"/>
    <x v="2"/>
    <s v="HR Executive"/>
    <x v="1"/>
    <n v="31"/>
    <s v="Married"/>
    <s v="2017-05-22"/>
    <m/>
    <x v="1"/>
    <x v="1137"/>
    <n v="3"/>
    <x v="3"/>
    <x v="1"/>
    <n v="40"/>
    <n v="9.1999999999999993"/>
    <s v="High"/>
  </r>
  <r>
    <x v="1142"/>
    <s v="Kavita Nair"/>
    <x v="4"/>
    <s v="Accountant"/>
    <x v="1"/>
    <n v="41"/>
    <s v="Single"/>
    <s v="2016-02-20"/>
    <m/>
    <x v="1"/>
    <x v="1138"/>
    <n v="2"/>
    <x v="4"/>
    <x v="0"/>
    <n v="11"/>
    <n v="10.5"/>
    <s v="Medium"/>
  </r>
  <r>
    <x v="1143"/>
    <s v="Sunil Bose"/>
    <x v="3"/>
    <s v="Operations Manager"/>
    <x v="0"/>
    <n v="52"/>
    <s v="Single"/>
    <s v="2022-11-06"/>
    <m/>
    <x v="1"/>
    <x v="1139"/>
    <n v="1"/>
    <x v="4"/>
    <x v="0"/>
    <n v="43"/>
    <n v="3.8"/>
    <s v="Medium"/>
  </r>
  <r>
    <x v="1144"/>
    <s v="Nikhil Das"/>
    <x v="5"/>
    <s v="Sales Executive"/>
    <x v="0"/>
    <n v="46"/>
    <s v="Married"/>
    <s v="2020-05-07"/>
    <m/>
    <x v="1"/>
    <x v="1140"/>
    <n v="5"/>
    <x v="3"/>
    <x v="1"/>
    <n v="45"/>
    <n v="6.3"/>
    <s v="High"/>
  </r>
  <r>
    <x v="1145"/>
    <s v="Vivek Sharma"/>
    <x v="3"/>
    <s v="Logistics Coordinator"/>
    <x v="0"/>
    <n v="53"/>
    <s v="Single"/>
    <s v="2022-07-14"/>
    <s v="2024-05-18"/>
    <x v="0"/>
    <x v="1141"/>
    <n v="1"/>
    <x v="1"/>
    <x v="0"/>
    <n v="24"/>
    <n v="1.8"/>
    <s v="N/A"/>
  </r>
  <r>
    <x v="1146"/>
    <s v="Suresh Gupta"/>
    <x v="0"/>
    <s v="Marketing Manager"/>
    <x v="0"/>
    <n v="42"/>
    <s v="Married"/>
    <s v="2018-04-12"/>
    <s v="2025-01-22"/>
    <x v="0"/>
    <x v="1142"/>
    <n v="3"/>
    <x v="3"/>
    <x v="0"/>
    <n v="39"/>
    <n v="6.8"/>
    <s v="N/A"/>
  </r>
  <r>
    <x v="1147"/>
    <s v="Shweta Gupta"/>
    <x v="4"/>
    <s v="Financial Analyst"/>
    <x v="1"/>
    <n v="54"/>
    <s v="Single"/>
    <s v="2018-02-21"/>
    <s v="2020-12-25"/>
    <x v="0"/>
    <x v="1143"/>
    <n v="4"/>
    <x v="3"/>
    <x v="0"/>
    <n v="21"/>
    <n v="2.8"/>
    <s v="N/A"/>
  </r>
  <r>
    <x v="1148"/>
    <s v="Rita Malhotra"/>
    <x v="0"/>
    <s v="Marketing Manager"/>
    <x v="1"/>
    <n v="43"/>
    <s v="Single"/>
    <s v="2015-06-15"/>
    <s v="2026-08-02"/>
    <x v="0"/>
    <x v="1144"/>
    <n v="1"/>
    <x v="2"/>
    <x v="1"/>
    <n v="22"/>
    <n v="11.1"/>
    <s v="N/A"/>
  </r>
  <r>
    <x v="1149"/>
    <s v="Deepak Chopra"/>
    <x v="3"/>
    <s v="Operations Executive"/>
    <x v="0"/>
    <n v="34"/>
    <s v="Married"/>
    <s v="2025-02-21"/>
    <m/>
    <x v="1"/>
    <x v="1145"/>
    <n v="1"/>
    <x v="2"/>
    <x v="0"/>
    <n v="45"/>
    <n v="1.5"/>
    <s v="Low"/>
  </r>
  <r>
    <x v="1150"/>
    <s v="Nisha Reddy"/>
    <x v="2"/>
    <s v="HR Manager"/>
    <x v="1"/>
    <n v="30"/>
    <s v="Married"/>
    <s v="2018-11-19"/>
    <s v="2024-02-03"/>
    <x v="0"/>
    <x v="1146"/>
    <n v="2"/>
    <x v="0"/>
    <x v="0"/>
    <n v="32"/>
    <n v="5.2"/>
    <s v="N/A"/>
  </r>
  <r>
    <x v="1151"/>
    <s v="Payal Kumar"/>
    <x v="0"/>
    <s v="Marketing Executive"/>
    <x v="1"/>
    <n v="23"/>
    <s v="Married"/>
    <s v="2024-02-03"/>
    <s v="2025-11-09"/>
    <x v="0"/>
    <x v="1147"/>
    <n v="2"/>
    <x v="3"/>
    <x v="1"/>
    <n v="5"/>
    <n v="1.8"/>
    <s v="N/A"/>
  </r>
  <r>
    <x v="1152"/>
    <s v="Rahul Sharma"/>
    <x v="1"/>
    <s v="Software Engineer"/>
    <x v="0"/>
    <n v="43"/>
    <s v="Married"/>
    <s v="2024-10-04"/>
    <m/>
    <x v="1"/>
    <x v="1148"/>
    <n v="2"/>
    <x v="3"/>
    <x v="0"/>
    <n v="38"/>
    <n v="1.8"/>
    <s v="Medium"/>
  </r>
  <r>
    <x v="1153"/>
    <s v="Ashok Kumar"/>
    <x v="2"/>
    <s v="Recruiter"/>
    <x v="0"/>
    <n v="25"/>
    <s v="Single"/>
    <s v="2022-11-24"/>
    <s v="2024-05-14"/>
    <x v="0"/>
    <x v="1149"/>
    <n v="2"/>
    <x v="3"/>
    <x v="1"/>
    <n v="6"/>
    <n v="1.5"/>
    <s v="N/A"/>
  </r>
  <r>
    <x v="1154"/>
    <s v="Nikhil Reddy"/>
    <x v="1"/>
    <s v="Software Engineer"/>
    <x v="0"/>
    <n v="55"/>
    <s v="Single"/>
    <s v="2017-02-28"/>
    <m/>
    <x v="1"/>
    <x v="1150"/>
    <n v="4"/>
    <x v="4"/>
    <x v="0"/>
    <n v="39"/>
    <n v="9.4"/>
    <s v="Medium"/>
  </r>
  <r>
    <x v="1155"/>
    <s v="Vivek Joshi"/>
    <x v="0"/>
    <s v="Content Specialist"/>
    <x v="0"/>
    <n v="54"/>
    <s v="Divorced"/>
    <s v="2015-01-26"/>
    <m/>
    <x v="1"/>
    <x v="1151"/>
    <n v="3"/>
    <x v="4"/>
    <x v="1"/>
    <n v="10"/>
    <n v="11.5"/>
    <s v="High"/>
  </r>
  <r>
    <x v="1156"/>
    <s v="Vikram Gupta"/>
    <x v="1"/>
    <s v="IT Support"/>
    <x v="0"/>
    <n v="33"/>
    <s v="Divorced"/>
    <s v="2024-07-07"/>
    <s v="2025-11-01"/>
    <x v="0"/>
    <x v="1152"/>
    <n v="2"/>
    <x v="4"/>
    <x v="1"/>
    <n v="26"/>
    <n v="1.3"/>
    <s v="N/A"/>
  </r>
  <r>
    <x v="1157"/>
    <s v="Meena Malhotra"/>
    <x v="3"/>
    <s v="Logistics Coordinator"/>
    <x v="1"/>
    <n v="38"/>
    <s v="Divorced"/>
    <s v="2024-03-31"/>
    <s v="2026-07-11"/>
    <x v="0"/>
    <x v="1153"/>
    <n v="5"/>
    <x v="4"/>
    <x v="1"/>
    <n v="1"/>
    <n v="2.2999999999999998"/>
    <s v="N/A"/>
  </r>
  <r>
    <x v="1158"/>
    <s v="Vikram Das"/>
    <x v="1"/>
    <s v="Software Engineer"/>
    <x v="0"/>
    <n v="44"/>
    <s v="Divorced"/>
    <s v="2025-02-14"/>
    <m/>
    <x v="1"/>
    <x v="1154"/>
    <n v="4"/>
    <x v="0"/>
    <x v="0"/>
    <n v="6"/>
    <n v="1.5"/>
    <s v="Low"/>
  </r>
  <r>
    <x v="1159"/>
    <s v="Anil Chauhan"/>
    <x v="0"/>
    <s v="Content Specialist"/>
    <x v="0"/>
    <n v="45"/>
    <s v="Married"/>
    <s v="2022-10-30"/>
    <m/>
    <x v="1"/>
    <x v="1155"/>
    <n v="5"/>
    <x v="3"/>
    <x v="0"/>
    <n v="17"/>
    <n v="3.8"/>
    <s v="Medium"/>
  </r>
  <r>
    <x v="1160"/>
    <s v="Komal Nair"/>
    <x v="0"/>
    <s v="Marketing Manager"/>
    <x v="1"/>
    <n v="53"/>
    <s v="Single"/>
    <s v="2018-07-07"/>
    <m/>
    <x v="1"/>
    <x v="1156"/>
    <n v="2"/>
    <x v="4"/>
    <x v="0"/>
    <n v="38"/>
    <n v="8.1"/>
    <s v="Medium"/>
  </r>
  <r>
    <x v="1161"/>
    <s v="Rekha Chopra"/>
    <x v="4"/>
    <s v="Accountant"/>
    <x v="1"/>
    <n v="51"/>
    <s v="Married"/>
    <s v="2024-09-28"/>
    <m/>
    <x v="1"/>
    <x v="1157"/>
    <n v="2"/>
    <x v="2"/>
    <x v="0"/>
    <n v="10"/>
    <n v="1.9"/>
    <s v="Low"/>
  </r>
  <r>
    <x v="1162"/>
    <s v="Swati Singh"/>
    <x v="5"/>
    <s v="Sales Executive"/>
    <x v="1"/>
    <n v="47"/>
    <s v="Single"/>
    <s v="2019-02-06"/>
    <s v="2019-06-13"/>
    <x v="0"/>
    <x v="1158"/>
    <n v="2"/>
    <x v="4"/>
    <x v="1"/>
    <n v="38"/>
    <n v="0.3"/>
    <s v="N/A"/>
  </r>
  <r>
    <x v="1163"/>
    <s v="Manoj Reddy"/>
    <x v="4"/>
    <s v="Accountant"/>
    <x v="0"/>
    <n v="34"/>
    <s v="Single"/>
    <s v="2015-03-30"/>
    <s v="2022-03-18"/>
    <x v="0"/>
    <x v="1159"/>
    <n v="3"/>
    <x v="4"/>
    <x v="0"/>
    <n v="36"/>
    <n v="7"/>
    <s v="N/A"/>
  </r>
  <r>
    <x v="1164"/>
    <s v="Nisha Joshi"/>
    <x v="0"/>
    <s v="Marketing Manager"/>
    <x v="1"/>
    <n v="53"/>
    <s v="Married"/>
    <s v="2022-06-20"/>
    <m/>
    <x v="1"/>
    <x v="1160"/>
    <n v="1"/>
    <x v="3"/>
    <x v="1"/>
    <n v="21"/>
    <n v="4.0999999999999996"/>
    <s v="High"/>
  </r>
  <r>
    <x v="1165"/>
    <s v="Meena Malhotra"/>
    <x v="1"/>
    <s v="Software Engineer"/>
    <x v="1"/>
    <n v="53"/>
    <s v="Divorced"/>
    <s v="2015-02-23"/>
    <m/>
    <x v="1"/>
    <x v="1161"/>
    <n v="3"/>
    <x v="4"/>
    <x v="0"/>
    <n v="41"/>
    <n v="11.5"/>
    <s v="Medium"/>
  </r>
  <r>
    <x v="1166"/>
    <s v="Rajesh Nair"/>
    <x v="3"/>
    <s v="Operations Executive"/>
    <x v="0"/>
    <n v="43"/>
    <s v="Single"/>
    <s v="2023-02-16"/>
    <s v="2025-05-13"/>
    <x v="0"/>
    <x v="1162"/>
    <n v="3"/>
    <x v="4"/>
    <x v="0"/>
    <n v="37"/>
    <n v="2.2000000000000002"/>
    <s v="N/A"/>
  </r>
  <r>
    <x v="1167"/>
    <s v="Anil Mehta"/>
    <x v="4"/>
    <s v="Financial Analyst"/>
    <x v="0"/>
    <n v="42"/>
    <s v="Divorced"/>
    <s v="2022-02-09"/>
    <m/>
    <x v="1"/>
    <x v="1163"/>
    <n v="3"/>
    <x v="2"/>
    <x v="0"/>
    <n v="36"/>
    <n v="4.5"/>
    <s v="Low"/>
  </r>
  <r>
    <x v="1168"/>
    <s v="Anil Chauhan"/>
    <x v="0"/>
    <s v="Marketing Executive"/>
    <x v="0"/>
    <n v="36"/>
    <s v="Married"/>
    <s v="2022-12-10"/>
    <m/>
    <x v="1"/>
    <x v="1164"/>
    <n v="2"/>
    <x v="4"/>
    <x v="0"/>
    <n v="32"/>
    <n v="3.7"/>
    <s v="Medium"/>
  </r>
  <r>
    <x v="1169"/>
    <s v="Nikhil Singh"/>
    <x v="2"/>
    <s v="Recruiter"/>
    <x v="0"/>
    <n v="42"/>
    <s v="Married"/>
    <s v="2015-11-30"/>
    <m/>
    <x v="1"/>
    <x v="1165"/>
    <n v="5"/>
    <x v="2"/>
    <x v="0"/>
    <n v="18"/>
    <n v="10.7"/>
    <s v="Low"/>
  </r>
  <r>
    <x v="1170"/>
    <s v="Ajay Verma"/>
    <x v="1"/>
    <s v="System Analyst"/>
    <x v="0"/>
    <n v="52"/>
    <s v="Divorced"/>
    <s v="2017-10-07"/>
    <m/>
    <x v="1"/>
    <x v="1166"/>
    <n v="3"/>
    <x v="3"/>
    <x v="1"/>
    <n v="23"/>
    <n v="8.8000000000000007"/>
    <s v="High"/>
  </r>
  <r>
    <x v="1171"/>
    <s v="Komal Reddy"/>
    <x v="1"/>
    <s v="System Analyst"/>
    <x v="1"/>
    <n v="56"/>
    <s v="Married"/>
    <s v="2017-03-30"/>
    <m/>
    <x v="1"/>
    <x v="1167"/>
    <n v="5"/>
    <x v="4"/>
    <x v="0"/>
    <n v="39"/>
    <n v="9.4"/>
    <s v="Medium"/>
  </r>
  <r>
    <x v="1172"/>
    <s v="Divya Chopra"/>
    <x v="0"/>
    <s v="Marketing Executive"/>
    <x v="1"/>
    <n v="49"/>
    <s v="Single"/>
    <s v="2022-11-09"/>
    <s v="2023-03-08"/>
    <x v="0"/>
    <x v="1168"/>
    <n v="3"/>
    <x v="3"/>
    <x v="0"/>
    <n v="17"/>
    <n v="0.3"/>
    <s v="N/A"/>
  </r>
  <r>
    <x v="1173"/>
    <s v="Anjali Iyer"/>
    <x v="0"/>
    <s v="Content Specialist"/>
    <x v="1"/>
    <n v="51"/>
    <s v="Divorced"/>
    <s v="2023-09-13"/>
    <s v="2025-02-08"/>
    <x v="0"/>
    <x v="1169"/>
    <n v="4"/>
    <x v="4"/>
    <x v="0"/>
    <n v="41"/>
    <n v="1.4"/>
    <s v="N/A"/>
  </r>
  <r>
    <x v="1174"/>
    <s v="Rita Rao"/>
    <x v="2"/>
    <s v="HR Executive"/>
    <x v="1"/>
    <n v="34"/>
    <s v="Married"/>
    <s v="2022-12-02"/>
    <m/>
    <x v="1"/>
    <x v="1170"/>
    <n v="2"/>
    <x v="1"/>
    <x v="0"/>
    <n v="38"/>
    <n v="3.7"/>
    <s v="Low"/>
  </r>
  <r>
    <x v="1175"/>
    <s v="Ritu Das"/>
    <x v="5"/>
    <s v="Sales Executive"/>
    <x v="1"/>
    <n v="45"/>
    <s v="Married"/>
    <s v="2016-08-03"/>
    <m/>
    <x v="1"/>
    <x v="1171"/>
    <n v="5"/>
    <x v="2"/>
    <x v="1"/>
    <n v="2"/>
    <n v="10"/>
    <s v="Medium"/>
  </r>
  <r>
    <x v="1176"/>
    <s v="Nidhi Verma"/>
    <x v="4"/>
    <s v="Financial Analyst"/>
    <x v="1"/>
    <n v="40"/>
    <s v="Divorced"/>
    <s v="2018-08-20"/>
    <m/>
    <x v="1"/>
    <x v="1172"/>
    <n v="1"/>
    <x v="0"/>
    <x v="0"/>
    <n v="33"/>
    <n v="8"/>
    <s v="Low"/>
  </r>
  <r>
    <x v="1177"/>
    <s v="Vikram Singh"/>
    <x v="1"/>
    <s v="System Analyst"/>
    <x v="0"/>
    <n v="31"/>
    <s v="Married"/>
    <s v="2016-02-23"/>
    <s v="2020-02-29"/>
    <x v="0"/>
    <x v="1173"/>
    <n v="1"/>
    <x v="4"/>
    <x v="0"/>
    <n v="24"/>
    <n v="4"/>
    <s v="N/A"/>
  </r>
  <r>
    <x v="1178"/>
    <s v="Ritu Verma"/>
    <x v="5"/>
    <s v="Sales Manager"/>
    <x v="1"/>
    <n v="55"/>
    <s v="Single"/>
    <s v="2019-09-02"/>
    <m/>
    <x v="1"/>
    <x v="1174"/>
    <n v="2"/>
    <x v="2"/>
    <x v="0"/>
    <n v="36"/>
    <n v="6.9"/>
    <s v="Low"/>
  </r>
  <r>
    <x v="1179"/>
    <s v="Manoj Mehta"/>
    <x v="4"/>
    <s v="Financial Analyst"/>
    <x v="0"/>
    <n v="37"/>
    <s v="Divorced"/>
    <s v="2015-08-20"/>
    <m/>
    <x v="1"/>
    <x v="1175"/>
    <n v="1"/>
    <x v="0"/>
    <x v="0"/>
    <n v="4"/>
    <n v="11"/>
    <s v="Low"/>
  </r>
  <r>
    <x v="1180"/>
    <s v="Sanjay Singh"/>
    <x v="5"/>
    <s v="Sales Executive"/>
    <x v="0"/>
    <n v="30"/>
    <s v="Married"/>
    <s v="2020-08-12"/>
    <m/>
    <x v="1"/>
    <x v="1176"/>
    <n v="4"/>
    <x v="2"/>
    <x v="1"/>
    <n v="2"/>
    <n v="6"/>
    <s v="Medium"/>
  </r>
  <r>
    <x v="1181"/>
    <s v="Ritu Patel"/>
    <x v="0"/>
    <s v="Content Specialist"/>
    <x v="1"/>
    <n v="24"/>
    <s v="Single"/>
    <s v="2017-03-30"/>
    <m/>
    <x v="1"/>
    <x v="1177"/>
    <n v="2"/>
    <x v="4"/>
    <x v="0"/>
    <n v="38"/>
    <n v="9.4"/>
    <s v="Medium"/>
  </r>
  <r>
    <x v="1182"/>
    <s v="Payal Joshi"/>
    <x v="5"/>
    <s v="Account Manager"/>
    <x v="1"/>
    <n v="47"/>
    <s v="Divorced"/>
    <s v="2017-05-21"/>
    <s v="2021-11-26"/>
    <x v="0"/>
    <x v="1178"/>
    <n v="5"/>
    <x v="3"/>
    <x v="1"/>
    <n v="19"/>
    <n v="4.5"/>
    <s v="N/A"/>
  </r>
  <r>
    <x v="1183"/>
    <s v="Rekha Gupta"/>
    <x v="1"/>
    <s v="Software Engineer"/>
    <x v="1"/>
    <n v="42"/>
    <s v="Married"/>
    <s v="2025-01-25"/>
    <m/>
    <x v="1"/>
    <x v="1179"/>
    <n v="3"/>
    <x v="3"/>
    <x v="1"/>
    <n v="29"/>
    <n v="1.5"/>
    <s v="High"/>
  </r>
  <r>
    <x v="1184"/>
    <s v="Meena Joshi"/>
    <x v="0"/>
    <s v="Content Specialist"/>
    <x v="1"/>
    <n v="29"/>
    <s v="Divorced"/>
    <s v="2015-06-20"/>
    <m/>
    <x v="1"/>
    <x v="1180"/>
    <n v="2"/>
    <x v="3"/>
    <x v="0"/>
    <n v="13"/>
    <n v="11.1"/>
    <s v="Medium"/>
  </r>
  <r>
    <x v="1185"/>
    <s v="Prakash Nair"/>
    <x v="2"/>
    <s v="Recruiter"/>
    <x v="0"/>
    <n v="45"/>
    <s v="Divorced"/>
    <s v="2020-03-14"/>
    <s v="2020-07-02"/>
    <x v="0"/>
    <x v="1181"/>
    <n v="5"/>
    <x v="4"/>
    <x v="1"/>
    <n v="17"/>
    <n v="0.3"/>
    <s v="N/A"/>
  </r>
  <r>
    <x v="1186"/>
    <s v="Meena Das"/>
    <x v="1"/>
    <s v="Software Engineer"/>
    <x v="1"/>
    <n v="46"/>
    <s v="Married"/>
    <s v="2023-01-27"/>
    <m/>
    <x v="1"/>
    <x v="1182"/>
    <n v="5"/>
    <x v="2"/>
    <x v="1"/>
    <n v="11"/>
    <n v="3.5"/>
    <s v="Medium"/>
  </r>
  <r>
    <x v="1187"/>
    <s v="Vikram Bhatt"/>
    <x v="3"/>
    <s v="Operations Manager"/>
    <x v="0"/>
    <n v="28"/>
    <s v="Single"/>
    <s v="2024-12-01"/>
    <m/>
    <x v="1"/>
    <x v="1183"/>
    <n v="5"/>
    <x v="3"/>
    <x v="1"/>
    <n v="4"/>
    <n v="1.7"/>
    <s v="High"/>
  </r>
  <r>
    <x v="1188"/>
    <s v="Swati Chauhan"/>
    <x v="5"/>
    <s v="Sales Manager"/>
    <x v="1"/>
    <n v="32"/>
    <s v="Married"/>
    <s v="2016-02-03"/>
    <s v="2020-12-08"/>
    <x v="0"/>
    <x v="1184"/>
    <n v="2"/>
    <x v="4"/>
    <x v="1"/>
    <n v="28"/>
    <n v="4.8"/>
    <s v="N/A"/>
  </r>
  <r>
    <x v="1189"/>
    <s v="Neha Kumar"/>
    <x v="0"/>
    <s v="Marketing Executive"/>
    <x v="1"/>
    <n v="41"/>
    <s v="Divorced"/>
    <s v="2016-08-03"/>
    <m/>
    <x v="1"/>
    <x v="1185"/>
    <n v="1"/>
    <x v="4"/>
    <x v="1"/>
    <n v="41"/>
    <n v="10"/>
    <s v="High"/>
  </r>
  <r>
    <x v="1190"/>
    <s v="Suresh Patel"/>
    <x v="4"/>
    <s v="Financial Analyst"/>
    <x v="0"/>
    <n v="37"/>
    <s v="Single"/>
    <s v="2020-02-08"/>
    <m/>
    <x v="1"/>
    <x v="1186"/>
    <n v="5"/>
    <x v="0"/>
    <x v="0"/>
    <n v="18"/>
    <n v="6.5"/>
    <s v="Low"/>
  </r>
  <r>
    <x v="1191"/>
    <s v="Karan Patel"/>
    <x v="4"/>
    <s v="Financial Analyst"/>
    <x v="0"/>
    <n v="47"/>
    <s v="Married"/>
    <s v="2022-08-09"/>
    <m/>
    <x v="1"/>
    <x v="1187"/>
    <n v="4"/>
    <x v="3"/>
    <x v="0"/>
    <n v="28"/>
    <n v="4"/>
    <s v="Medium"/>
  </r>
  <r>
    <x v="1192"/>
    <s v="Vikram Rao"/>
    <x v="5"/>
    <s v="Account Manager"/>
    <x v="0"/>
    <n v="40"/>
    <s v="Single"/>
    <s v="2023-01-23"/>
    <m/>
    <x v="1"/>
    <x v="1188"/>
    <n v="1"/>
    <x v="1"/>
    <x v="0"/>
    <n v="43"/>
    <n v="3.5"/>
    <s v="Low"/>
  </r>
  <r>
    <x v="1193"/>
    <s v="Prakash Malhotra"/>
    <x v="4"/>
    <s v="Financial Analyst"/>
    <x v="0"/>
    <n v="57"/>
    <s v="Single"/>
    <s v="2022-11-19"/>
    <m/>
    <x v="1"/>
    <x v="1189"/>
    <n v="1"/>
    <x v="4"/>
    <x v="0"/>
    <n v="19"/>
    <n v="3.7"/>
    <s v="Medium"/>
  </r>
  <r>
    <x v="1194"/>
    <s v="Ajay Iyer"/>
    <x v="4"/>
    <s v="Accountant"/>
    <x v="0"/>
    <n v="57"/>
    <s v="Married"/>
    <s v="2021-01-23"/>
    <m/>
    <x v="1"/>
    <x v="1190"/>
    <n v="4"/>
    <x v="1"/>
    <x v="1"/>
    <n v="12"/>
    <n v="5.5"/>
    <s v="Medium"/>
  </r>
  <r>
    <x v="1195"/>
    <s v="Gaurav Bose"/>
    <x v="2"/>
    <s v="HR Manager"/>
    <x v="0"/>
    <n v="48"/>
    <s v="Single"/>
    <s v="2019-01-15"/>
    <m/>
    <x v="1"/>
    <x v="1191"/>
    <n v="5"/>
    <x v="3"/>
    <x v="0"/>
    <n v="17"/>
    <n v="7.6"/>
    <s v="Medium"/>
  </r>
  <r>
    <x v="1196"/>
    <s v="Rita Bose"/>
    <x v="2"/>
    <s v="Recruiter"/>
    <x v="1"/>
    <n v="32"/>
    <s v="Divorced"/>
    <s v="2024-12-23"/>
    <m/>
    <x v="1"/>
    <x v="1192"/>
    <n v="2"/>
    <x v="0"/>
    <x v="1"/>
    <n v="39"/>
    <n v="1.6"/>
    <s v="Medium"/>
  </r>
  <r>
    <x v="1197"/>
    <s v="Karan Chopra"/>
    <x v="0"/>
    <s v="Marketing Executive"/>
    <x v="0"/>
    <n v="27"/>
    <s v="Divorced"/>
    <s v="2024-03-26"/>
    <s v="2024-05-29"/>
    <x v="0"/>
    <x v="1193"/>
    <n v="5"/>
    <x v="3"/>
    <x v="0"/>
    <n v="35"/>
    <n v="0.2"/>
    <s v="N/A"/>
  </r>
  <r>
    <x v="1198"/>
    <s v="Sanjay Reddy"/>
    <x v="2"/>
    <s v="Recruiter"/>
    <x v="0"/>
    <n v="53"/>
    <s v="Divorced"/>
    <s v="2016-04-23"/>
    <m/>
    <x v="1"/>
    <x v="1194"/>
    <n v="5"/>
    <x v="1"/>
    <x v="1"/>
    <n v="26"/>
    <n v="10.3"/>
    <s v="Medium"/>
  </r>
  <r>
    <x v="1199"/>
    <s v="Nisha Kumar"/>
    <x v="1"/>
    <s v="IT Support"/>
    <x v="1"/>
    <n v="36"/>
    <s v="Divorced"/>
    <s v="2022-03-08"/>
    <m/>
    <x v="1"/>
    <x v="1195"/>
    <n v="2"/>
    <x v="4"/>
    <x v="0"/>
    <n v="1"/>
    <n v="4.4000000000000004"/>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C8F71-EB1D-4748-BB0B-8C8B8D196563}" name="PivotTable1"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4">
  <location ref="A3:D11" firstHeaderRow="1" firstDataRow="2" firstDataCol="1"/>
  <pivotFields count="17">
    <pivotField dataField="1" showAll="0"/>
    <pivotField showAll="0"/>
    <pivotField axis="axisRow" showAll="0">
      <items count="7">
        <item x="4"/>
        <item x="2"/>
        <item x="1"/>
        <item x="0"/>
        <item x="3"/>
        <item x="5"/>
        <item t="default"/>
      </items>
    </pivotField>
    <pivotField showAll="0"/>
    <pivotField showAll="0">
      <items count="3">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items count="6">
        <item x="3"/>
        <item x="4"/>
        <item x="1"/>
        <item x="2"/>
        <item x="0"/>
        <item t="default"/>
      </items>
    </pivotField>
    <pivotField showAll="0">
      <items count="3">
        <item x="0"/>
        <item x="1"/>
        <item t="default"/>
      </items>
    </pivotField>
    <pivotField showAll="0"/>
    <pivotField showAll="0"/>
    <pivotField showAll="0"/>
  </pivotFields>
  <rowFields count="1">
    <field x="2"/>
  </rowFields>
  <rowItems count="7">
    <i>
      <x/>
    </i>
    <i>
      <x v="1"/>
    </i>
    <i>
      <x v="2"/>
    </i>
    <i>
      <x v="3"/>
    </i>
    <i>
      <x v="4"/>
    </i>
    <i>
      <x v="5"/>
    </i>
    <i t="grand">
      <x/>
    </i>
  </rowItems>
  <colFields count="1">
    <field x="9"/>
  </colFields>
  <colItems count="3">
    <i>
      <x/>
    </i>
    <i>
      <x v="1"/>
    </i>
    <i t="grand">
      <x/>
    </i>
  </colItems>
  <dataFields count="1">
    <dataField name="Count of EmployeeID" fld="0" subtotal="count" baseField="0" baseItem="0"/>
  </dataFields>
  <chartFormats count="2">
    <chartFormat chart="33" format="4" series="1">
      <pivotArea type="data" outline="0" fieldPosition="0">
        <references count="2">
          <reference field="4294967294" count="1" selected="0">
            <x v="0"/>
          </reference>
          <reference field="9" count="1" selected="0">
            <x v="0"/>
          </reference>
        </references>
      </pivotArea>
    </chartFormat>
    <chartFormat chart="33"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91494-F4BF-458C-8B8A-DB700978CE78}" name="PivotTable2"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D7" firstHeaderRow="1" firstDataRow="2" firstDataCol="1"/>
  <pivotFields count="17">
    <pivotField dataField="1" showAll="0"/>
    <pivotField showAll="0"/>
    <pivotField showAll="0">
      <items count="7">
        <item x="4"/>
        <item x="2"/>
        <item x="1"/>
        <item x="0"/>
        <item x="3"/>
        <item x="5"/>
        <item t="default"/>
      </items>
    </pivotField>
    <pivotField showAll="0"/>
    <pivotField showAll="0">
      <items count="3">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items count="6">
        <item x="3"/>
        <item x="4"/>
        <item x="1"/>
        <item x="2"/>
        <item x="0"/>
        <item t="default"/>
      </items>
    </pivotField>
    <pivotField axis="axisRow" showAll="0">
      <items count="3">
        <item x="0"/>
        <item x="1"/>
        <item t="default"/>
      </items>
    </pivotField>
    <pivotField showAll="0"/>
    <pivotField showAll="0"/>
    <pivotField showAll="0"/>
  </pivotFields>
  <rowFields count="1">
    <field x="13"/>
  </rowFields>
  <rowItems count="3">
    <i>
      <x/>
    </i>
    <i>
      <x v="1"/>
    </i>
    <i t="grand">
      <x/>
    </i>
  </rowItems>
  <colFields count="1">
    <field x="9"/>
  </colFields>
  <colItems count="3">
    <i>
      <x/>
    </i>
    <i>
      <x v="1"/>
    </i>
    <i t="grand">
      <x/>
    </i>
  </colItems>
  <dataFields count="1">
    <dataField name="Count of EmployeeID" fld="0" subtotal="count" baseField="0" baseItem="0"/>
  </dataFields>
  <chartFormats count="3">
    <chartFormat chart="7" format="16" series="1">
      <pivotArea type="data" outline="0" fieldPosition="0">
        <references count="1">
          <reference field="4294967294" count="1" selected="0">
            <x v="0"/>
          </reference>
        </references>
      </pivotArea>
    </chartFormat>
    <chartFormat chart="7" format="18" series="1">
      <pivotArea type="data" outline="0" fieldPosition="0">
        <references count="2">
          <reference field="4294967294" count="1" selected="0">
            <x v="0"/>
          </reference>
          <reference field="9" count="1" selected="0">
            <x v="0"/>
          </reference>
        </references>
      </pivotArea>
    </chartFormat>
    <chartFormat chart="7" format="19">
      <pivotArea type="data" outline="0" fieldPosition="0">
        <references count="3">
          <reference field="4294967294" count="1" selected="0">
            <x v="0"/>
          </reference>
          <reference field="9"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C63282-F270-4A78-8F68-5548D3E7A7CD}" name="PivotTable3"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1" firstDataRow="2" firstDataCol="1"/>
  <pivotFields count="17">
    <pivotField dataField="1" showAll="0"/>
    <pivotField showAll="0"/>
    <pivotField showAll="0">
      <items count="7">
        <item x="4"/>
        <item x="2"/>
        <item x="1"/>
        <item x="0"/>
        <item x="3"/>
        <item x="5"/>
        <item t="default"/>
      </items>
    </pivotField>
    <pivotField showAll="0"/>
    <pivotField showAll="0">
      <items count="3">
        <item x="1"/>
        <item x="0"/>
        <item t="default"/>
      </items>
    </pivotField>
    <pivotField showAll="0"/>
    <pivotField showAll="0"/>
    <pivotField showAll="0"/>
    <pivotField showAll="0"/>
    <pivotField axis="axisCol" showAll="0">
      <items count="3">
        <item x="1"/>
        <item x="0"/>
        <item t="default"/>
      </items>
    </pivotField>
    <pivotField showAll="0"/>
    <pivotField showAll="0"/>
    <pivotField axis="axisRow" showAll="0">
      <items count="6">
        <item x="3"/>
        <item x="4"/>
        <item x="1"/>
        <item x="2"/>
        <item x="0"/>
        <item t="default"/>
      </items>
    </pivotField>
    <pivotField showAll="0">
      <items count="3">
        <item x="0"/>
        <item x="1"/>
        <item t="default"/>
      </items>
    </pivotField>
    <pivotField showAll="0"/>
    <pivotField showAll="0"/>
    <pivotField showAll="0"/>
  </pivotFields>
  <rowFields count="1">
    <field x="12"/>
  </rowFields>
  <rowItems count="6">
    <i>
      <x/>
    </i>
    <i>
      <x v="1"/>
    </i>
    <i>
      <x v="2"/>
    </i>
    <i>
      <x v="3"/>
    </i>
    <i>
      <x v="4"/>
    </i>
    <i t="grand">
      <x/>
    </i>
  </rowItems>
  <colFields count="1">
    <field x="9"/>
  </colFields>
  <colItems count="3">
    <i>
      <x/>
    </i>
    <i>
      <x v="1"/>
    </i>
    <i t="grand">
      <x/>
    </i>
  </colItems>
  <dataFields count="1">
    <dataField name="Count of EmployeeID" fld="0" subtotal="count" baseField="0" baseItem="0"/>
  </dataFields>
  <chartFormats count="2">
    <chartFormat chart="2" format="4" series="1">
      <pivotArea type="data" outline="0" fieldPosition="0">
        <references count="2">
          <reference field="4294967294" count="1" selected="0">
            <x v="0"/>
          </reference>
          <reference field="9" count="1" selected="0">
            <x v="0"/>
          </reference>
        </references>
      </pivotArea>
    </chartFormat>
    <chartFormat chart="2"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195CA1-93F3-41DA-8459-CA852DCA1F1B}" name="PivotTable4"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3:B10" firstHeaderRow="1" firstDataRow="1" firstDataCol="1"/>
  <pivotFields count="17">
    <pivotField showAll="0"/>
    <pivotField showAll="0"/>
    <pivotField axis="axisRow" showAll="0">
      <items count="7">
        <item x="4"/>
        <item x="2"/>
        <item x="1"/>
        <item x="0"/>
        <item x="3"/>
        <item x="5"/>
        <item t="default"/>
      </items>
    </pivotField>
    <pivotField showAll="0"/>
    <pivotField showAll="0">
      <items count="3">
        <item x="1"/>
        <item x="0"/>
        <item t="default"/>
      </items>
    </pivotField>
    <pivotField showAll="0"/>
    <pivotField showAll="0"/>
    <pivotField showAll="0"/>
    <pivotField showAll="0"/>
    <pivotField showAll="0"/>
    <pivotField dataField="1" showAll="0">
      <items count="1197">
        <item x="891"/>
        <item x="395"/>
        <item x="947"/>
        <item x="512"/>
        <item x="451"/>
        <item x="510"/>
        <item x="382"/>
        <item x="895"/>
        <item x="272"/>
        <item x="842"/>
        <item x="258"/>
        <item x="1095"/>
        <item x="559"/>
        <item x="331"/>
        <item x="429"/>
        <item x="373"/>
        <item x="926"/>
        <item x="836"/>
        <item x="618"/>
        <item x="387"/>
        <item x="286"/>
        <item x="1020"/>
        <item x="29"/>
        <item x="1074"/>
        <item x="839"/>
        <item x="391"/>
        <item x="635"/>
        <item x="1114"/>
        <item x="814"/>
        <item x="126"/>
        <item x="1179"/>
        <item x="1103"/>
        <item x="899"/>
        <item x="737"/>
        <item x="601"/>
        <item x="372"/>
        <item x="662"/>
        <item x="1087"/>
        <item x="1126"/>
        <item x="965"/>
        <item x="879"/>
        <item x="1193"/>
        <item x="913"/>
        <item x="918"/>
        <item x="982"/>
        <item x="874"/>
        <item x="147"/>
        <item x="756"/>
        <item x="636"/>
        <item x="1071"/>
        <item x="1003"/>
        <item x="257"/>
        <item x="954"/>
        <item x="491"/>
        <item x="683"/>
        <item x="892"/>
        <item x="1172"/>
        <item x="696"/>
        <item x="546"/>
        <item x="1047"/>
        <item x="64"/>
        <item x="527"/>
        <item x="694"/>
        <item x="1100"/>
        <item x="560"/>
        <item x="761"/>
        <item x="475"/>
        <item x="462"/>
        <item x="553"/>
        <item x="969"/>
        <item x="1165"/>
        <item x="968"/>
        <item x="704"/>
        <item x="113"/>
        <item x="92"/>
        <item x="409"/>
        <item x="1141"/>
        <item x="1023"/>
        <item x="515"/>
        <item x="957"/>
        <item x="906"/>
        <item x="769"/>
        <item x="86"/>
        <item x="809"/>
        <item x="357"/>
        <item x="927"/>
        <item x="118"/>
        <item x="1069"/>
        <item x="338"/>
        <item x="791"/>
        <item x="759"/>
        <item x="938"/>
        <item x="631"/>
        <item x="815"/>
        <item x="1136"/>
        <item x="541"/>
        <item x="646"/>
        <item x="607"/>
        <item x="479"/>
        <item x="645"/>
        <item x="234"/>
        <item x="717"/>
        <item x="912"/>
        <item x="829"/>
        <item x="186"/>
        <item x="471"/>
        <item x="204"/>
        <item x="37"/>
        <item x="1086"/>
        <item x="99"/>
        <item x="889"/>
        <item x="689"/>
        <item x="412"/>
        <item x="841"/>
        <item x="1036"/>
        <item x="845"/>
        <item x="866"/>
        <item x="304"/>
        <item x="49"/>
        <item x="255"/>
        <item x="216"/>
        <item x="557"/>
        <item x="525"/>
        <item x="1022"/>
        <item x="1082"/>
        <item x="476"/>
        <item x="1001"/>
        <item x="944"/>
        <item x="751"/>
        <item x="905"/>
        <item x="172"/>
        <item x="107"/>
        <item x="1167"/>
        <item x="535"/>
        <item x="128"/>
        <item x="402"/>
        <item x="150"/>
        <item x="739"/>
        <item x="134"/>
        <item x="400"/>
        <item x="616"/>
        <item x="888"/>
        <item x="764"/>
        <item x="935"/>
        <item x="58"/>
        <item x="936"/>
        <item x="611"/>
        <item x="1170"/>
        <item x="1000"/>
        <item x="1010"/>
        <item x="496"/>
        <item x="469"/>
        <item x="384"/>
        <item x="1015"/>
        <item x="15"/>
        <item x="518"/>
        <item x="721"/>
        <item x="1058"/>
        <item x="882"/>
        <item x="690"/>
        <item x="1019"/>
        <item x="481"/>
        <item x="985"/>
        <item x="221"/>
        <item x="229"/>
        <item x="961"/>
        <item x="343"/>
        <item x="807"/>
        <item x="1093"/>
        <item x="500"/>
        <item x="156"/>
        <item x="1064"/>
        <item x="714"/>
        <item x="720"/>
        <item x="1124"/>
        <item x="277"/>
        <item x="339"/>
        <item x="202"/>
        <item x="25"/>
        <item x="777"/>
        <item x="1066"/>
        <item x="896"/>
        <item x="847"/>
        <item x="1077"/>
        <item x="1046"/>
        <item x="755"/>
        <item x="199"/>
        <item x="990"/>
        <item x="397"/>
        <item x="655"/>
        <item x="972"/>
        <item x="800"/>
        <item x="860"/>
        <item x="738"/>
        <item x="663"/>
        <item x="1156"/>
        <item x="871"/>
        <item x="197"/>
        <item x="551"/>
        <item x="1107"/>
        <item x="884"/>
        <item x="62"/>
        <item x="565"/>
        <item x="1147"/>
        <item x="705"/>
        <item x="332"/>
        <item x="208"/>
        <item x="821"/>
        <item x="688"/>
        <item x="700"/>
        <item x="1134"/>
        <item x="103"/>
        <item x="1054"/>
        <item x="46"/>
        <item x="729"/>
        <item x="533"/>
        <item x="1120"/>
        <item x="390"/>
        <item x="345"/>
        <item x="59"/>
        <item x="994"/>
        <item x="1072"/>
        <item x="998"/>
        <item x="1056"/>
        <item x="676"/>
        <item x="709"/>
        <item x="788"/>
        <item x="1060"/>
        <item x="120"/>
        <item x="780"/>
        <item x="513"/>
        <item x="111"/>
        <item x="374"/>
        <item x="259"/>
        <item x="166"/>
        <item x="698"/>
        <item x="362"/>
        <item x="379"/>
        <item x="577"/>
        <item x="793"/>
        <item x="1168"/>
        <item x="22"/>
        <item x="218"/>
        <item x="43"/>
        <item x="833"/>
        <item x="164"/>
        <item x="140"/>
        <item x="643"/>
        <item x="955"/>
        <item x="57"/>
        <item x="1181"/>
        <item x="984"/>
        <item x="293"/>
        <item x="378"/>
        <item x="39"/>
        <item x="883"/>
        <item x="495"/>
        <item x="14"/>
        <item x="88"/>
        <item x="419"/>
        <item x="538"/>
        <item x="1031"/>
        <item x="162"/>
        <item x="1055"/>
        <item x="532"/>
        <item x="939"/>
        <item x="165"/>
        <item x="63"/>
        <item x="653"/>
        <item x="354"/>
        <item x="624"/>
        <item x="89"/>
        <item x="516"/>
        <item x="48"/>
        <item x="526"/>
        <item x="843"/>
        <item x="152"/>
        <item x="1083"/>
        <item x="196"/>
        <item x="853"/>
        <item x="578"/>
        <item x="392"/>
        <item x="264"/>
        <item x="1005"/>
        <item x="770"/>
        <item x="329"/>
        <item x="514"/>
        <item x="783"/>
        <item x="726"/>
        <item x="1119"/>
        <item x="368"/>
        <item x="650"/>
        <item x="498"/>
        <item x="296"/>
        <item x="599"/>
        <item x="534"/>
        <item x="487"/>
        <item x="190"/>
        <item x="254"/>
        <item x="425"/>
        <item x="823"/>
        <item x="350"/>
        <item x="863"/>
        <item x="2"/>
        <item x="1091"/>
        <item x="158"/>
        <item x="1178"/>
        <item x="1004"/>
        <item x="1186"/>
        <item x="263"/>
        <item x="198"/>
        <item x="463"/>
        <item x="1188"/>
        <item x="399"/>
        <item x="868"/>
        <item x="922"/>
        <item x="856"/>
        <item x="224"/>
        <item x="91"/>
        <item x="529"/>
        <item x="1159"/>
        <item x="1146"/>
        <item x="623"/>
        <item x="1052"/>
        <item x="73"/>
        <item x="604"/>
        <item x="168"/>
        <item x="775"/>
        <item x="122"/>
        <item x="24"/>
        <item x="1125"/>
        <item x="941"/>
        <item x="182"/>
        <item x="959"/>
        <item x="478"/>
        <item x="547"/>
        <item x="432"/>
        <item x="849"/>
        <item x="1028"/>
        <item x="671"/>
        <item x="214"/>
        <item x="524"/>
        <item x="885"/>
        <item x="772"/>
        <item x="846"/>
        <item x="206"/>
        <item x="956"/>
        <item x="148"/>
        <item x="434"/>
        <item x="502"/>
        <item x="1029"/>
        <item x="910"/>
        <item x="916"/>
        <item x="681"/>
        <item x="1043"/>
        <item x="449"/>
        <item x="266"/>
        <item x="1118"/>
        <item x="977"/>
        <item x="1161"/>
        <item x="674"/>
        <item x="569"/>
        <item x="600"/>
        <item x="1098"/>
        <item x="161"/>
        <item x="945"/>
        <item x="1135"/>
        <item x="858"/>
        <item x="269"/>
        <item x="274"/>
        <item x="467"/>
        <item x="42"/>
        <item x="651"/>
        <item x="1045"/>
        <item x="96"/>
        <item x="1021"/>
        <item x="11"/>
        <item x="693"/>
        <item x="477"/>
        <item x="861"/>
        <item x="953"/>
        <item x="56"/>
        <item x="798"/>
        <item x="207"/>
        <item x="1050"/>
        <item x="873"/>
        <item x="121"/>
        <item x="1073"/>
        <item x="625"/>
        <item x="672"/>
        <item x="952"/>
        <item x="149"/>
        <item x="1163"/>
        <item x="1192"/>
        <item x="1040"/>
        <item x="564"/>
        <item x="389"/>
        <item x="280"/>
        <item x="177"/>
        <item x="530"/>
        <item x="427"/>
        <item x="226"/>
        <item x="948"/>
        <item x="468"/>
        <item x="867"/>
        <item x="321"/>
        <item x="986"/>
        <item x="4"/>
        <item x="1097"/>
        <item x="1173"/>
        <item x="522"/>
        <item x="1189"/>
        <item x="1025"/>
        <item x="970"/>
        <item x="802"/>
        <item x="979"/>
        <item x="104"/>
        <item x="364"/>
        <item x="380"/>
        <item x="642"/>
        <item x="1106"/>
        <item x="268"/>
        <item x="79"/>
        <item x="946"/>
        <item x="356"/>
        <item x="567"/>
        <item x="796"/>
        <item x="682"/>
        <item x="315"/>
        <item x="82"/>
        <item x="1169"/>
        <item x="138"/>
        <item x="171"/>
        <item x="752"/>
        <item x="722"/>
        <item x="865"/>
        <item x="337"/>
        <item x="154"/>
        <item x="291"/>
        <item x="819"/>
        <item x="920"/>
        <item x="684"/>
        <item x="1078"/>
        <item x="634"/>
        <item x="746"/>
        <item x="472"/>
        <item x="344"/>
        <item x="521"/>
        <item x="1121"/>
        <item x="824"/>
        <item x="678"/>
        <item x="1105"/>
        <item x="632"/>
        <item x="109"/>
        <item x="505"/>
        <item x="963"/>
        <item x="71"/>
        <item x="928"/>
        <item x="1016"/>
        <item x="1044"/>
        <item x="822"/>
        <item x="411"/>
        <item x="852"/>
        <item x="484"/>
        <item x="16"/>
        <item x="511"/>
        <item x="320"/>
        <item x="300"/>
        <item x="183"/>
        <item x="458"/>
        <item x="1138"/>
        <item x="760"/>
        <item x="1011"/>
        <item x="308"/>
        <item x="630"/>
        <item x="999"/>
        <item x="0"/>
        <item x="445"/>
        <item x="719"/>
        <item x="19"/>
        <item x="282"/>
        <item x="26"/>
        <item x="686"/>
        <item x="781"/>
        <item x="1112"/>
        <item x="129"/>
        <item x="238"/>
        <item x="940"/>
        <item x="574"/>
        <item x="305"/>
        <item x="78"/>
        <item x="520"/>
        <item x="370"/>
        <item x="649"/>
        <item x="200"/>
        <item x="1099"/>
        <item x="556"/>
        <item x="428"/>
        <item x="730"/>
        <item x="931"/>
        <item x="81"/>
        <item x="175"/>
        <item x="706"/>
        <item x="1094"/>
        <item x="1080"/>
        <item x="464"/>
        <item x="810"/>
        <item x="279"/>
        <item x="290"/>
        <item x="639"/>
        <item x="178"/>
        <item x="127"/>
        <item x="832"/>
        <item x="41"/>
        <item x="1133"/>
        <item x="418"/>
        <item x="881"/>
        <item x="677"/>
        <item x="87"/>
        <item x="173"/>
        <item x="517"/>
        <item x="74"/>
        <item x="834"/>
        <item x="72"/>
        <item x="176"/>
        <item x="323"/>
        <item x="747"/>
        <item x="794"/>
        <item x="420"/>
        <item x="550"/>
        <item x="376"/>
        <item x="923"/>
        <item x="349"/>
        <item x="1131"/>
        <item x="523"/>
        <item x="352"/>
        <item x="687"/>
        <item x="1063"/>
        <item x="47"/>
        <item x="299"/>
        <item x="1162"/>
        <item x="278"/>
        <item x="779"/>
        <item x="215"/>
        <item x="281"/>
        <item x="501"/>
        <item x="744"/>
        <item x="132"/>
        <item x="187"/>
        <item x="668"/>
        <item x="949"/>
        <item x="804"/>
        <item x="101"/>
        <item x="787"/>
        <item x="1013"/>
        <item x="1039"/>
        <item x="194"/>
        <item x="192"/>
        <item x="562"/>
        <item x="222"/>
        <item x="583"/>
        <item x="1128"/>
        <item x="902"/>
        <item x="1177"/>
        <item x="602"/>
        <item x="273"/>
        <item x="543"/>
        <item x="593"/>
        <item x="231"/>
        <item x="260"/>
        <item x="450"/>
        <item x="309"/>
        <item x="877"/>
        <item x="628"/>
        <item x="880"/>
        <item x="210"/>
        <item x="816"/>
        <item x="904"/>
        <item x="160"/>
        <item x="249"/>
        <item x="765"/>
        <item x="440"/>
        <item x="934"/>
        <item x="1108"/>
        <item x="10"/>
        <item x="1084"/>
        <item x="369"/>
        <item x="652"/>
        <item x="767"/>
        <item x="31"/>
        <item x="1176"/>
        <item x="757"/>
        <item x="612"/>
        <item x="799"/>
        <item x="973"/>
        <item x="359"/>
        <item x="189"/>
        <item x="1008"/>
        <item x="1038"/>
        <item x="570"/>
        <item x="133"/>
        <item x="749"/>
        <item x="589"/>
        <item x="638"/>
        <item x="377"/>
        <item x="485"/>
        <item x="988"/>
        <item x="245"/>
        <item x="239"/>
        <item x="1109"/>
        <item x="869"/>
        <item x="669"/>
        <item x="494"/>
        <item x="943"/>
        <item x="205"/>
        <item x="95"/>
        <item x="1027"/>
        <item x="732"/>
        <item x="1194"/>
        <item x="430"/>
        <item x="1030"/>
        <item x="110"/>
        <item x="423"/>
        <item x="455"/>
        <item x="1076"/>
        <item x="381"/>
        <item x="94"/>
        <item x="415"/>
        <item x="106"/>
        <item x="174"/>
        <item x="240"/>
        <item x="414"/>
        <item x="252"/>
        <item x="492"/>
        <item x="801"/>
        <item x="1049"/>
        <item x="870"/>
        <item x="805"/>
        <item x="1017"/>
        <item x="1018"/>
        <item x="768"/>
        <item x="211"/>
        <item x="486"/>
        <item x="443"/>
        <item x="17"/>
        <item x="774"/>
        <item x="242"/>
        <item x="44"/>
        <item x="65"/>
        <item x="327"/>
        <item x="835"/>
        <item x="335"/>
        <item x="446"/>
        <item x="326"/>
        <item x="346"/>
        <item x="995"/>
        <item x="459"/>
        <item x="776"/>
        <item x="191"/>
        <item x="579"/>
        <item x="1144"/>
        <item x="924"/>
        <item x="758"/>
        <item x="519"/>
        <item x="248"/>
        <item x="201"/>
        <item x="250"/>
        <item x="542"/>
        <item x="283"/>
        <item x="213"/>
        <item x="407"/>
        <item x="408"/>
        <item x="336"/>
        <item x="890"/>
        <item x="185"/>
        <item x="1164"/>
        <item x="971"/>
        <item x="367"/>
        <item x="271"/>
        <item x="644"/>
        <item x="353"/>
        <item x="284"/>
        <item x="854"/>
        <item x="983"/>
        <item x="1006"/>
        <item x="227"/>
        <item x="727"/>
        <item x="163"/>
        <item x="1053"/>
        <item x="424"/>
        <item x="699"/>
        <item x="803"/>
        <item x="531"/>
        <item x="844"/>
        <item x="1190"/>
        <item x="545"/>
        <item x="685"/>
        <item x="850"/>
        <item x="1014"/>
        <item x="731"/>
        <item x="675"/>
        <item x="241"/>
        <item x="1102"/>
        <item x="622"/>
        <item x="306"/>
        <item x="265"/>
        <item x="590"/>
        <item x="992"/>
        <item x="294"/>
        <item x="32"/>
        <item x="181"/>
        <item x="658"/>
        <item x="558"/>
        <item x="991"/>
        <item x="827"/>
        <item x="734"/>
        <item x="136"/>
        <item x="608"/>
        <item x="188"/>
        <item x="967"/>
        <item x="784"/>
        <item x="718"/>
        <item x="901"/>
        <item x="851"/>
        <item x="795"/>
        <item x="244"/>
        <item x="456"/>
        <item x="285"/>
        <item x="929"/>
        <item x="1034"/>
        <item x="53"/>
        <item x="322"/>
        <item x="448"/>
        <item x="212"/>
        <item x="1116"/>
        <item x="383"/>
        <item x="275"/>
        <item x="388"/>
        <item x="887"/>
        <item x="426"/>
        <item x="1090"/>
        <item x="976"/>
        <item x="592"/>
        <item x="261"/>
        <item x="347"/>
        <item x="23"/>
        <item x="1065"/>
        <item x="563"/>
        <item x="621"/>
        <item x="361"/>
        <item x="1148"/>
        <item x="232"/>
        <item x="8"/>
        <item x="575"/>
        <item x="237"/>
        <item x="605"/>
        <item x="1171"/>
        <item x="217"/>
        <item x="262"/>
        <item x="724"/>
        <item x="679"/>
        <item x="355"/>
        <item x="243"/>
        <item x="1152"/>
        <item x="712"/>
        <item x="828"/>
        <item x="862"/>
        <item x="394"/>
        <item x="371"/>
        <item x="665"/>
        <item x="146"/>
        <item x="588"/>
        <item x="813"/>
        <item x="1175"/>
        <item x="499"/>
        <item x="633"/>
        <item x="840"/>
        <item x="987"/>
        <item x="1079"/>
        <item x="84"/>
        <item x="292"/>
        <item x="715"/>
        <item x="398"/>
        <item x="447"/>
        <item x="474"/>
        <item x="139"/>
        <item x="115"/>
        <item x="750"/>
        <item x="223"/>
        <item x="710"/>
        <item x="366"/>
        <item x="233"/>
        <item x="36"/>
        <item x="1153"/>
        <item x="316"/>
        <item x="615"/>
        <item x="925"/>
        <item x="69"/>
        <item x="482"/>
        <item x="1081"/>
        <item x="503"/>
        <item x="1101"/>
        <item x="105"/>
        <item x="68"/>
        <item x="1042"/>
        <item x="35"/>
        <item x="637"/>
        <item x="1085"/>
        <item x="544"/>
        <item x="452"/>
        <item x="40"/>
        <item x="894"/>
        <item x="1070"/>
        <item x="1110"/>
        <item x="137"/>
        <item x="580"/>
        <item x="13"/>
        <item x="1145"/>
        <item x="1154"/>
        <item x="247"/>
        <item x="102"/>
        <item x="566"/>
        <item x="358"/>
        <item x="465"/>
        <item x="537"/>
        <item x="878"/>
        <item x="1115"/>
        <item x="403"/>
        <item x="508"/>
        <item x="1041"/>
        <item x="548"/>
        <item x="406"/>
        <item x="610"/>
        <item x="442"/>
        <item x="386"/>
        <item x="552"/>
        <item x="571"/>
        <item x="453"/>
        <item x="978"/>
        <item x="808"/>
        <item x="509"/>
        <item x="184"/>
        <item x="1104"/>
        <item x="401"/>
        <item x="950"/>
        <item x="276"/>
        <item x="915"/>
        <item x="1089"/>
        <item x="1092"/>
        <item x="54"/>
        <item x="989"/>
        <item x="911"/>
        <item x="826"/>
        <item x="119"/>
        <item x="3"/>
        <item x="713"/>
        <item x="536"/>
        <item x="1160"/>
        <item x="1150"/>
        <item x="116"/>
        <item x="596"/>
        <item x="898"/>
        <item x="157"/>
        <item x="980"/>
        <item x="1130"/>
        <item x="295"/>
        <item x="246"/>
        <item x="886"/>
        <item x="620"/>
        <item x="584"/>
        <item x="555"/>
        <item x="1068"/>
        <item x="143"/>
        <item x="573"/>
        <item x="1149"/>
        <item x="897"/>
        <item x="504"/>
        <item x="966"/>
        <item x="9"/>
        <item x="786"/>
        <item x="151"/>
        <item x="962"/>
        <item x="421"/>
        <item x="1123"/>
        <item x="748"/>
        <item x="576"/>
        <item x="317"/>
        <item x="1155"/>
        <item x="900"/>
        <item x="287"/>
        <item x="270"/>
        <item x="98"/>
        <item x="766"/>
        <item x="792"/>
        <item x="303"/>
        <item x="1129"/>
        <item x="169"/>
        <item x="825"/>
        <item x="932"/>
        <item x="131"/>
        <item x="875"/>
        <item x="444"/>
        <item x="619"/>
        <item x="1157"/>
        <item x="937"/>
        <item x="656"/>
        <item x="1032"/>
        <item x="1184"/>
        <item x="330"/>
        <item x="812"/>
        <item x="661"/>
        <item x="1185"/>
        <item x="921"/>
        <item x="703"/>
        <item x="641"/>
        <item x="7"/>
        <item x="253"/>
        <item x="20"/>
        <item x="1007"/>
        <item x="228"/>
        <item x="1026"/>
        <item x="490"/>
        <item x="155"/>
        <item x="341"/>
        <item x="179"/>
        <item x="561"/>
        <item x="609"/>
        <item x="647"/>
        <item x="1"/>
        <item x="666"/>
        <item x="1002"/>
        <item x="1180"/>
        <item x="251"/>
        <item x="778"/>
        <item x="203"/>
        <item x="1035"/>
        <item x="1127"/>
        <item x="325"/>
        <item x="439"/>
        <item x="960"/>
        <item x="302"/>
        <item x="441"/>
        <item x="66"/>
        <item x="568"/>
        <item x="342"/>
        <item x="438"/>
        <item x="12"/>
        <item x="396"/>
        <item x="702"/>
        <item x="711"/>
        <item x="497"/>
        <item x="123"/>
        <item x="1113"/>
        <item x="723"/>
        <item x="951"/>
        <item x="50"/>
        <item x="236"/>
        <item x="728"/>
        <item x="876"/>
        <item x="52"/>
        <item x="410"/>
        <item x="837"/>
        <item x="1009"/>
        <item x="324"/>
        <item x="627"/>
        <item x="838"/>
        <item x="762"/>
        <item x="654"/>
        <item x="461"/>
        <item x="1132"/>
        <item x="613"/>
        <item x="130"/>
        <item x="85"/>
        <item x="648"/>
        <item x="975"/>
        <item x="405"/>
        <item x="431"/>
        <item x="117"/>
        <item x="334"/>
        <item x="288"/>
        <item x="797"/>
        <item x="691"/>
        <item x="142"/>
        <item x="75"/>
        <item x="416"/>
        <item x="993"/>
        <item x="55"/>
        <item x="97"/>
        <item x="742"/>
        <item x="1033"/>
        <item x="1051"/>
        <item x="93"/>
        <item x="1142"/>
        <item x="135"/>
        <item x="312"/>
        <item x="657"/>
        <item x="385"/>
        <item x="1037"/>
        <item x="582"/>
        <item x="267"/>
        <item x="818"/>
        <item x="817"/>
        <item x="348"/>
        <item x="489"/>
        <item x="328"/>
        <item x="740"/>
        <item x="903"/>
        <item x="60"/>
        <item x="660"/>
        <item x="753"/>
        <item x="220"/>
        <item x="67"/>
        <item x="1059"/>
        <item x="30"/>
        <item x="908"/>
        <item x="319"/>
        <item x="1140"/>
        <item x="864"/>
        <item x="893"/>
        <item x="483"/>
        <item x="454"/>
        <item x="360"/>
        <item x="159"/>
        <item x="225"/>
        <item x="1174"/>
        <item x="640"/>
        <item x="594"/>
        <item x="1048"/>
        <item x="587"/>
        <item x="1166"/>
        <item x="695"/>
        <item x="1117"/>
        <item x="1024"/>
        <item x="581"/>
        <item x="1187"/>
        <item x="114"/>
        <item x="83"/>
        <item x="1122"/>
        <item x="460"/>
        <item x="629"/>
        <item x="507"/>
        <item x="307"/>
        <item x="470"/>
        <item x="917"/>
        <item x="743"/>
        <item x="974"/>
        <item x="45"/>
        <item x="193"/>
        <item x="417"/>
        <item x="297"/>
        <item x="141"/>
        <item x="473"/>
        <item x="333"/>
        <item x="572"/>
        <item x="680"/>
        <item x="1111"/>
        <item x="1096"/>
        <item x="34"/>
        <item x="51"/>
        <item x="806"/>
        <item x="488"/>
        <item x="318"/>
        <item x="77"/>
        <item x="789"/>
        <item x="256"/>
        <item x="872"/>
        <item x="741"/>
        <item x="1012"/>
        <item x="745"/>
        <item x="1067"/>
        <item x="1183"/>
        <item x="1061"/>
        <item x="617"/>
        <item x="958"/>
        <item x="61"/>
        <item x="235"/>
        <item x="480"/>
        <item x="108"/>
        <item x="21"/>
        <item x="301"/>
        <item x="219"/>
        <item x="606"/>
        <item x="585"/>
        <item x="820"/>
        <item x="1057"/>
        <item x="393"/>
        <item x="716"/>
        <item x="692"/>
        <item x="540"/>
        <item x="363"/>
        <item x="144"/>
        <item x="1151"/>
        <item x="313"/>
        <item x="667"/>
        <item x="664"/>
        <item x="167"/>
        <item x="708"/>
        <item x="153"/>
        <item x="701"/>
        <item x="457"/>
        <item x="1191"/>
        <item x="997"/>
        <item x="314"/>
        <item x="38"/>
        <item x="404"/>
        <item x="466"/>
        <item x="670"/>
        <item x="603"/>
        <item x="598"/>
        <item x="1195"/>
        <item x="782"/>
        <item x="659"/>
        <item x="626"/>
        <item x="831"/>
        <item x="763"/>
        <item x="170"/>
        <item x="435"/>
        <item x="754"/>
        <item x="996"/>
        <item x="773"/>
        <item x="848"/>
        <item x="28"/>
        <item x="298"/>
        <item x="942"/>
        <item x="697"/>
        <item x="673"/>
        <item x="311"/>
        <item x="1143"/>
        <item x="351"/>
        <item x="506"/>
        <item x="595"/>
        <item x="539"/>
        <item x="437"/>
        <item x="1137"/>
        <item x="436"/>
        <item x="365"/>
        <item x="76"/>
        <item x="859"/>
        <item x="340"/>
        <item x="857"/>
        <item x="785"/>
        <item x="830"/>
        <item x="80"/>
        <item x="6"/>
        <item x="586"/>
        <item x="289"/>
        <item x="493"/>
        <item x="195"/>
        <item x="614"/>
        <item x="1088"/>
        <item x="1182"/>
        <item x="549"/>
        <item x="964"/>
        <item x="422"/>
        <item x="919"/>
        <item x="771"/>
        <item x="5"/>
        <item x="33"/>
        <item x="933"/>
        <item x="433"/>
        <item x="18"/>
        <item x="790"/>
        <item x="70"/>
        <item x="707"/>
        <item x="909"/>
        <item x="413"/>
        <item x="209"/>
        <item x="310"/>
        <item x="124"/>
        <item x="145"/>
        <item x="930"/>
        <item x="907"/>
        <item x="180"/>
        <item x="914"/>
        <item x="90"/>
        <item x="736"/>
        <item x="597"/>
        <item x="1075"/>
        <item x="981"/>
        <item x="733"/>
        <item x="100"/>
        <item x="735"/>
        <item x="27"/>
        <item x="528"/>
        <item x="1139"/>
        <item x="1158"/>
        <item x="855"/>
        <item x="125"/>
        <item x="375"/>
        <item x="591"/>
        <item x="811"/>
        <item x="554"/>
        <item x="230"/>
        <item x="112"/>
        <item x="1062"/>
        <item x="725"/>
        <item t="default"/>
      </items>
    </pivotField>
    <pivotField showAll="0"/>
    <pivotField showAll="0">
      <items count="6">
        <item x="3"/>
        <item x="4"/>
        <item x="1"/>
        <item x="2"/>
        <item x="0"/>
        <item t="default"/>
      </items>
    </pivotField>
    <pivotField showAll="0">
      <items count="3">
        <item x="0"/>
        <item x="1"/>
        <item t="default"/>
      </items>
    </pivotField>
    <pivotField showAll="0"/>
    <pivotField showAll="0"/>
    <pivotField showAll="0"/>
  </pivotFields>
  <rowFields count="1">
    <field x="2"/>
  </rowFields>
  <rowItems count="7">
    <i>
      <x/>
    </i>
    <i>
      <x v="1"/>
    </i>
    <i>
      <x v="2"/>
    </i>
    <i>
      <x v="3"/>
    </i>
    <i>
      <x v="4"/>
    </i>
    <i>
      <x v="5"/>
    </i>
    <i t="grand">
      <x/>
    </i>
  </rowItems>
  <colItems count="1">
    <i/>
  </colItems>
  <dataFields count="1">
    <dataField name="Average of MonthlyIncome" fld="10" subtotal="average" baseField="2" baseItem="0" numFmtId="181"/>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8F8CA-60C9-4A75-93CB-42C74BD89831}" name="PivotTable5"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6" firstHeaderRow="1" firstDataRow="1" firstDataCol="1"/>
  <pivotFields count="17">
    <pivotField dataField="1" showAll="0"/>
    <pivotField showAll="0"/>
    <pivotField showAll="0">
      <items count="7">
        <item x="4"/>
        <item x="2"/>
        <item x="1"/>
        <item x="0"/>
        <item x="3"/>
        <item x="5"/>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6">
        <item x="3"/>
        <item x="4"/>
        <item x="1"/>
        <item x="2"/>
        <item x="0"/>
        <item t="default"/>
      </items>
    </pivotField>
    <pivotField showAll="0">
      <items count="3">
        <item x="0"/>
        <item x="1"/>
        <item t="default"/>
      </items>
    </pivotField>
    <pivotField showAll="0"/>
    <pivotField showAll="0"/>
    <pivotField showAll="0"/>
  </pivotFields>
  <rowFields count="1">
    <field x="4"/>
  </rowFields>
  <rowItems count="3">
    <i>
      <x/>
    </i>
    <i>
      <x v="1"/>
    </i>
    <i t="grand">
      <x/>
    </i>
  </rowItems>
  <colItems count="1">
    <i/>
  </colItems>
  <dataFields count="1">
    <dataField name="Count of EmployeeID" fld="0"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34E88B-FDD9-41AE-8511-5D0195F79D30}" name="PivotTable10"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9:B22" firstHeaderRow="1" firstDataRow="1" firstDataCol="1"/>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Count of Employee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4F6BE7-01A2-481D-849E-0492C950E39F}" name="PivotTable6"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3:C16" firstHeaderRow="0" firstDataRow="1" firstDataCol="1"/>
  <pivotFields count="17">
    <pivotField dataField="1" showAll="0"/>
    <pivotField showAll="0"/>
    <pivotField showAll="0">
      <items count="7">
        <item x="4"/>
        <item x="2"/>
        <item x="1"/>
        <item x="0"/>
        <item x="3"/>
        <item x="5"/>
        <item t="default"/>
      </items>
    </pivotField>
    <pivotField showAll="0"/>
    <pivotField showAll="0">
      <items count="3">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items count="6">
        <item x="3"/>
        <item x="4"/>
        <item x="1"/>
        <item x="2"/>
        <item x="0"/>
        <item t="default"/>
      </items>
    </pivotField>
    <pivotField showAll="0">
      <items count="3">
        <item x="0"/>
        <item x="1"/>
        <item t="default"/>
      </items>
    </pivotField>
    <pivotField showAll="0"/>
    <pivotField dataField="1" showAll="0"/>
    <pivotField showAll="0"/>
  </pivotFields>
  <rowFields count="1">
    <field x="9"/>
  </rowFields>
  <rowItems count="3">
    <i>
      <x/>
    </i>
    <i>
      <x v="1"/>
    </i>
    <i t="grand">
      <x/>
    </i>
  </rowItems>
  <colFields count="1">
    <field x="-2"/>
  </colFields>
  <colItems count="2">
    <i>
      <x/>
    </i>
    <i i="1">
      <x v="1"/>
    </i>
  </colItems>
  <dataFields count="2">
    <dataField name="Count of EmployeeID" fld="0" subtotal="count" baseField="9" baseItem="0"/>
    <dataField name="Average of TenureYears" fld="15" subtotal="average" baseField="9" baseItem="0"/>
  </dataFields>
  <formats count="3">
    <format dxfId="47">
      <pivotArea collapsedLevelsAreSubtotals="1" fieldPosition="0">
        <references count="2">
          <reference field="4294967294" count="1" selected="0">
            <x v="1"/>
          </reference>
          <reference field="9" count="1">
            <x v="0"/>
          </reference>
        </references>
      </pivotArea>
    </format>
    <format dxfId="48">
      <pivotArea collapsedLevelsAreSubtotals="1" fieldPosition="0">
        <references count="2">
          <reference field="4294967294" count="1" selected="0">
            <x v="1"/>
          </reference>
          <reference field="9" count="1">
            <x v="1"/>
          </reference>
        </references>
      </pivotArea>
    </format>
    <format dxfId="49">
      <pivotArea field="9" grandRow="1" outline="0" collapsedLevelsAreSubtotals="1" axis="axisRow"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6CB264-0DA4-4C5D-AD83-8060854FF2C5}" name="PivotTable9"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7">
    <pivotField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MonthlyIncom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F3CD4A-FF90-48AF-B947-9986A8EB3997}" name="PivotTable8"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B8" firstHeaderRow="0" firstDataRow="1" firstDataCol="0"/>
  <pivotFields count="17">
    <pivotField dataField="1" showAll="0">
      <items count="1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t="default"/>
      </items>
    </pivotField>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 showAll="0"/>
    <pivotField showAll="0"/>
    <pivotField showAll="0"/>
    <pivotField showAll="0"/>
  </pivotFields>
  <rowItems count="1">
    <i/>
  </rowItems>
  <colFields count="1">
    <field x="-2"/>
  </colFields>
  <colItems count="2">
    <i>
      <x/>
    </i>
    <i i="1">
      <x v="1"/>
    </i>
  </colItems>
  <dataFields count="2">
    <dataField name="Count of EmployeeID" fld="0" subtotal="count" baseField="0" baseItem="0"/>
    <dataField name="Sum of MonthlyIncom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895B754-2B32-4DCA-92B5-3BAEED7C79C6}" sourceName="Department">
  <pivotTables>
    <pivotTable tabId="5" name="PivotTable1"/>
    <pivotTable tabId="6" name="PivotTable2"/>
    <pivotTable tabId="8" name="PivotTable3"/>
    <pivotTable tabId="9" name="PivotTable4"/>
    <pivotTable tabId="11" name="PivotTable5"/>
    <pivotTable tabId="17" name="PivotTable6"/>
  </pivotTables>
  <data>
    <tabular pivotCacheId="1076007899">
      <items count="6">
        <i x="4" s="1"/>
        <i x="2" s="1"/>
        <i x="1"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2CCF2DC-FED8-428C-B89F-BB2E4D9F7C75}" sourceName="Gender">
  <pivotTables>
    <pivotTable tabId="5" name="PivotTable1"/>
    <pivotTable tabId="6" name="PivotTable2"/>
    <pivotTable tabId="8" name="PivotTable3"/>
    <pivotTable tabId="9" name="PivotTable4"/>
    <pivotTable tabId="11" name="PivotTable5"/>
    <pivotTable tabId="17" name="PivotTable6"/>
  </pivotTables>
  <data>
    <tabular pivotCacheId="107600789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6EAA321D-3CE4-436C-AA5F-59E8F4C7F6E3}" sourceName="OverTime">
  <pivotTables>
    <pivotTable tabId="5" name="PivotTable1"/>
    <pivotTable tabId="6" name="PivotTable2"/>
    <pivotTable tabId="8" name="PivotTable3"/>
    <pivotTable tabId="9" name="PivotTable4"/>
    <pivotTable tabId="11" name="PivotTable5"/>
    <pivotTable tabId="17" name="PivotTable6"/>
  </pivotTables>
  <data>
    <tabular pivotCacheId="107600789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Satisfaction" xr10:uid="{F52A6F1A-DB54-4FAE-9098-21FEB9D97920}" sourceName="JobSatisfaction">
  <pivotTables>
    <pivotTable tabId="5" name="PivotTable1"/>
    <pivotTable tabId="6" name="PivotTable2"/>
    <pivotTable tabId="8" name="PivotTable3"/>
    <pivotTable tabId="9" name="PivotTable4"/>
    <pivotTable tabId="11" name="PivotTable5"/>
    <pivotTable tabId="17" name="PivotTable6"/>
  </pivotTables>
  <data>
    <tabular pivotCacheId="1076007899">
      <items count="5">
        <i x="3" s="1"/>
        <i x="4"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488B005-2417-4945-AFA9-88F04AC858B7}" cache="Slicer_Department" caption="Department" rowHeight="241300"/>
  <slicer name="Gender" xr10:uid="{5DDBDF83-B670-4336-8EE4-36294DB5775E}" cache="Slicer_Gender" caption="Gender" rowHeight="241300"/>
  <slicer name="OverTime" xr10:uid="{D42F7D80-6C44-4E35-965F-B8DEE770263F}" cache="Slicer_OverTime" caption="OverTim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171FD67-EA5C-4718-B830-80C30232C65B}" cache="Slicer_Department" caption="Department" style="SlicerStyleLight4" rowHeight="241300"/>
  <slicer name="Gender 1" xr10:uid="{21C3CE97-BB40-410D-B957-680023667CEE}" cache="Slicer_Gender" caption="Gender" style="SlicerStyleLight4" rowHeight="241300"/>
  <slicer name="OverTime 1" xr10:uid="{F1F65D52-3260-4F94-9BD0-220AB112F2A1}" cache="Slicer_OverTime" caption="OverTime" style="SlicerStyleLight4" rowHeight="241300"/>
  <slicer name="JobSatisfaction" xr10:uid="{52A30FB3-4137-40E1-A454-92B4B434CBC2}" cache="Slicer_JobSatisfaction" caption="JobSatisfaction"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69D8C2-5786-4BB3-9A57-9B1C432D8D00}" name="Table1" displayName="Table1" ref="A1:Q1201" totalsRowShown="0" headerRowDxfId="50" dataDxfId="51">
  <autoFilter ref="A1:Q1201" xr:uid="{FE69D8C2-5786-4BB3-9A57-9B1C432D8D00}"/>
  <tableColumns count="17">
    <tableColumn id="1" xr3:uid="{1CB4CE95-4821-4F2B-B2E2-B9EACA4488E8}" name="EmployeeID" dataDxfId="68"/>
    <tableColumn id="2" xr3:uid="{62239E8F-FB6A-45E3-92FA-810AEAABB59B}" name="Name" dataDxfId="67"/>
    <tableColumn id="3" xr3:uid="{25089C4D-18F6-4416-9E76-8CB79D343544}" name="Department" dataDxfId="66"/>
    <tableColumn id="4" xr3:uid="{FF638E7A-B12B-48AE-8671-3415F89C1426}" name="JobRole" dataDxfId="65"/>
    <tableColumn id="5" xr3:uid="{AEE69842-9A50-4BBE-8508-23341C722CA5}" name="Gender" dataDxfId="64"/>
    <tableColumn id="6" xr3:uid="{E7D7BE1F-020A-4173-B2C2-E4A4149DE9BC}" name="Age" dataDxfId="63"/>
    <tableColumn id="7" xr3:uid="{4218AA73-D0A3-48C3-8844-C0225A7E82D2}" name="MaritalStatus" dataDxfId="62"/>
    <tableColumn id="8" xr3:uid="{DC4C86F6-F4D2-42EA-8AE2-C8206C6F0ADC}" name="DateOfJoining" dataDxfId="61"/>
    <tableColumn id="9" xr3:uid="{61F4B8C5-8184-4980-A8EA-093E1A0F8DF4}" name="DateOfExit" dataDxfId="60"/>
    <tableColumn id="10" xr3:uid="{842E1890-AEEF-4338-93B7-6224F62FA19C}" name="Attrition" dataDxfId="59"/>
    <tableColumn id="11" xr3:uid="{38803C0F-00A8-452A-A131-E6553BBFBDA9}" name="MonthlyIncome" dataDxfId="58"/>
    <tableColumn id="12" xr3:uid="{66788A8A-454B-4852-94A8-8F9D2C2907FE}" name="PerformanceRating" dataDxfId="57"/>
    <tableColumn id="13" xr3:uid="{AE503270-EBE2-4F22-B834-24FDF3F16C7D}" name="JobSatisfaction" dataDxfId="56"/>
    <tableColumn id="14" xr3:uid="{5E3D8FD7-1CFA-4F9B-9CAD-F968FD9C80EA}" name="OverTime" dataDxfId="55"/>
    <tableColumn id="15" xr3:uid="{BD609F21-9FEF-49B2-9B1D-94E8801F9E87}" name="DistanceFromHome" dataDxfId="54"/>
    <tableColumn id="16" xr3:uid="{07EC6152-34A8-41C6-957D-14FDB687A6E0}" name="TenureYears" dataDxfId="53">
      <calculatedColumnFormula>ROUND((IF(I2="",TODAY(),I2)-H2)/365,1)</calculatedColumnFormula>
    </tableColumn>
    <tableColumn id="17" xr3:uid="{6FB1F996-FEEC-41FD-8113-012020EB0A9A}" name="FlightRisk" dataDxfId="52">
      <calculatedColumnFormula>IF(J2="No",IF(AND(M2&lt;=2,N2="Yes"),"High",IF(OR(M2&lt;=2,N2="Yes"),"Medium","Low")),"N/A")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rinterSettings" Target="../printerSettings/printerSettings2.bin"/><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201"/>
  <sheetViews>
    <sheetView zoomScaleNormal="100" workbookViewId="0">
      <pane ySplit="1" topLeftCell="A2" activePane="bottomLeft" state="frozen"/>
      <selection pane="bottomLeft" activeCell="A2" sqref="A2:Q1201"/>
    </sheetView>
  </sheetViews>
  <sheetFormatPr defaultColWidth="8.6328125" defaultRowHeight="14.5" x14ac:dyDescent="0.35"/>
  <cols>
    <col min="1" max="1" width="13.81640625" customWidth="1"/>
    <col min="2" max="2" width="18" customWidth="1"/>
    <col min="3" max="3" width="13.6328125" customWidth="1"/>
    <col min="4" max="4" width="20" customWidth="1"/>
    <col min="5" max="5" width="9.6328125" customWidth="1"/>
    <col min="6" max="6" width="6.453125" customWidth="1"/>
    <col min="7" max="7" width="14.81640625" customWidth="1"/>
    <col min="8" max="8" width="16" customWidth="1"/>
    <col min="9" max="9" width="13" customWidth="1"/>
    <col min="10" max="10" width="10.08984375" customWidth="1"/>
    <col min="11" max="11" width="16.7265625" customWidth="1"/>
    <col min="12" max="12" width="20.7265625" customWidth="1"/>
    <col min="13" max="13" width="17.1796875" customWidth="1"/>
    <col min="14" max="14" width="12" customWidth="1"/>
    <col min="15" max="15" width="21.1796875" customWidth="1"/>
    <col min="16" max="16" width="14.81640625" customWidth="1"/>
    <col min="17" max="17" width="12" customWidth="1"/>
  </cols>
  <sheetData>
    <row r="1" spans="1:17" x14ac:dyDescent="0.35">
      <c r="A1" s="1" t="s">
        <v>13</v>
      </c>
      <c r="B1" s="1" t="s">
        <v>14</v>
      </c>
      <c r="C1" s="1" t="s">
        <v>3</v>
      </c>
      <c r="D1" s="1" t="s">
        <v>15</v>
      </c>
      <c r="E1" s="1" t="s">
        <v>16</v>
      </c>
      <c r="F1" s="1" t="s">
        <v>17</v>
      </c>
      <c r="G1" s="1" t="s">
        <v>18</v>
      </c>
      <c r="H1" s="1" t="s">
        <v>19</v>
      </c>
      <c r="I1" s="1" t="s">
        <v>20</v>
      </c>
      <c r="J1" s="1" t="s">
        <v>21</v>
      </c>
      <c r="K1" s="1" t="s">
        <v>22</v>
      </c>
      <c r="L1" s="1" t="s">
        <v>23</v>
      </c>
      <c r="M1" s="1" t="s">
        <v>24</v>
      </c>
      <c r="N1" s="1" t="s">
        <v>4</v>
      </c>
      <c r="O1" s="1" t="s">
        <v>25</v>
      </c>
      <c r="P1" s="1" t="s">
        <v>26</v>
      </c>
      <c r="Q1" s="1" t="s">
        <v>27</v>
      </c>
    </row>
    <row r="2" spans="1:17" x14ac:dyDescent="0.35">
      <c r="A2" s="2" t="s">
        <v>28</v>
      </c>
      <c r="B2" s="2" t="s">
        <v>29</v>
      </c>
      <c r="C2" s="2" t="s">
        <v>12</v>
      </c>
      <c r="D2" s="2" t="s">
        <v>30</v>
      </c>
      <c r="E2" s="2" t="s">
        <v>31</v>
      </c>
      <c r="F2" s="2">
        <v>36</v>
      </c>
      <c r="G2" s="2" t="s">
        <v>32</v>
      </c>
      <c r="H2" s="3" t="s">
        <v>33</v>
      </c>
      <c r="I2" s="3" t="s">
        <v>34</v>
      </c>
      <c r="J2" s="2" t="s">
        <v>6</v>
      </c>
      <c r="K2" s="2">
        <v>80302</v>
      </c>
      <c r="L2" s="2">
        <v>1</v>
      </c>
      <c r="M2" s="2">
        <v>5</v>
      </c>
      <c r="N2" s="2" t="s">
        <v>8</v>
      </c>
      <c r="O2" s="2">
        <v>38</v>
      </c>
      <c r="P2" s="2">
        <f ca="1">ROUND((IF(I2="",TODAY(),I2)-H2)/365,1)</f>
        <v>2.6</v>
      </c>
      <c r="Q2" s="2" t="str">
        <f t="shared" ref="Q2:Q65" si="0">IF(J2="No",IF(AND(M2&lt;=2,N2="Yes"),"High",IF(OR(M2&lt;=2,N2="Yes"),"Medium","Low")),"N/A")</f>
        <v>N/A</v>
      </c>
    </row>
    <row r="3" spans="1:17" x14ac:dyDescent="0.35">
      <c r="A3" s="2" t="s">
        <v>35</v>
      </c>
      <c r="B3" s="2" t="s">
        <v>36</v>
      </c>
      <c r="C3" s="2" t="s">
        <v>7</v>
      </c>
      <c r="D3" s="2" t="s">
        <v>37</v>
      </c>
      <c r="E3" s="2" t="s">
        <v>31</v>
      </c>
      <c r="F3" s="2">
        <v>56</v>
      </c>
      <c r="G3" s="2" t="s">
        <v>32</v>
      </c>
      <c r="H3" s="3" t="s">
        <v>38</v>
      </c>
      <c r="I3" s="2"/>
      <c r="J3" s="2" t="s">
        <v>8</v>
      </c>
      <c r="K3" s="2">
        <v>124458</v>
      </c>
      <c r="L3" s="2">
        <v>3</v>
      </c>
      <c r="M3" s="2">
        <v>5</v>
      </c>
      <c r="N3" s="2" t="s">
        <v>6</v>
      </c>
      <c r="O3" s="2">
        <v>1</v>
      </c>
      <c r="P3" s="2">
        <f ca="1">ROUND((IF(I3="",TODAY(),I3)-H3)/365,1)</f>
        <v>6.9</v>
      </c>
      <c r="Q3" s="2" t="str">
        <f t="shared" si="0"/>
        <v>Medium</v>
      </c>
    </row>
    <row r="4" spans="1:17" x14ac:dyDescent="0.35">
      <c r="A4" s="2" t="s">
        <v>39</v>
      </c>
      <c r="B4" s="2" t="s">
        <v>40</v>
      </c>
      <c r="C4" s="2" t="s">
        <v>9</v>
      </c>
      <c r="D4" s="2" t="s">
        <v>41</v>
      </c>
      <c r="E4" s="2" t="s">
        <v>31</v>
      </c>
      <c r="F4" s="2">
        <v>28</v>
      </c>
      <c r="G4" s="2" t="s">
        <v>32</v>
      </c>
      <c r="H4" s="3" t="s">
        <v>42</v>
      </c>
      <c r="I4" s="2"/>
      <c r="J4" s="2" t="s">
        <v>8</v>
      </c>
      <c r="K4" s="2">
        <v>59671</v>
      </c>
      <c r="L4" s="2">
        <v>3</v>
      </c>
      <c r="M4" s="2">
        <v>3</v>
      </c>
      <c r="N4" s="2" t="s">
        <v>8</v>
      </c>
      <c r="O4" s="2">
        <v>39</v>
      </c>
      <c r="P4" s="2">
        <f ca="1">ROUND((IF(I4="",TODAY(),I4)-H4)/365,1)</f>
        <v>10.6</v>
      </c>
      <c r="Q4" s="2" t="str">
        <f t="shared" si="0"/>
        <v>Low</v>
      </c>
    </row>
    <row r="5" spans="1:17" x14ac:dyDescent="0.35">
      <c r="A5" s="2" t="s">
        <v>43</v>
      </c>
      <c r="B5" s="2" t="s">
        <v>44</v>
      </c>
      <c r="C5" s="2" t="s">
        <v>11</v>
      </c>
      <c r="D5" s="2" t="s">
        <v>45</v>
      </c>
      <c r="E5" s="2" t="s">
        <v>46</v>
      </c>
      <c r="F5" s="2">
        <v>40</v>
      </c>
      <c r="G5" s="2" t="s">
        <v>32</v>
      </c>
      <c r="H5" s="3" t="s">
        <v>47</v>
      </c>
      <c r="I5" s="3" t="s">
        <v>48</v>
      </c>
      <c r="J5" s="2" t="s">
        <v>6</v>
      </c>
      <c r="K5" s="2">
        <v>117349</v>
      </c>
      <c r="L5" s="2">
        <v>5</v>
      </c>
      <c r="M5" s="2">
        <v>3</v>
      </c>
      <c r="N5" s="2" t="s">
        <v>8</v>
      </c>
      <c r="O5" s="2">
        <v>13</v>
      </c>
      <c r="P5" s="2">
        <f ca="1">ROUND((IF(I5="",TODAY(),I5)-H5)/365,1)</f>
        <v>0.8</v>
      </c>
      <c r="Q5" s="2" t="str">
        <f t="shared" si="0"/>
        <v>N/A</v>
      </c>
    </row>
    <row r="6" spans="1:17" x14ac:dyDescent="0.35">
      <c r="A6" s="2" t="s">
        <v>49</v>
      </c>
      <c r="B6" s="2" t="s">
        <v>50</v>
      </c>
      <c r="C6" s="2" t="s">
        <v>9</v>
      </c>
      <c r="D6" s="2" t="s">
        <v>51</v>
      </c>
      <c r="E6" s="2" t="s">
        <v>31</v>
      </c>
      <c r="F6" s="2">
        <v>39</v>
      </c>
      <c r="G6" s="2" t="s">
        <v>32</v>
      </c>
      <c r="H6" s="3" t="s">
        <v>52</v>
      </c>
      <c r="I6" s="2"/>
      <c r="J6" s="2" t="s">
        <v>8</v>
      </c>
      <c r="K6" s="2">
        <v>71566</v>
      </c>
      <c r="L6" s="2">
        <v>2</v>
      </c>
      <c r="M6" s="2">
        <v>3</v>
      </c>
      <c r="N6" s="2" t="s">
        <v>8</v>
      </c>
      <c r="O6" s="2">
        <v>24</v>
      </c>
      <c r="P6" s="2">
        <f ca="1">ROUND((IF(I6="",TODAY(),I6)-H6)/365,1)</f>
        <v>6.5</v>
      </c>
      <c r="Q6" s="2" t="str">
        <f t="shared" si="0"/>
        <v>Low</v>
      </c>
    </row>
    <row r="7" spans="1:17" x14ac:dyDescent="0.35">
      <c r="A7" s="2" t="s">
        <v>53</v>
      </c>
      <c r="B7" s="2" t="s">
        <v>54</v>
      </c>
      <c r="C7" s="2" t="s">
        <v>12</v>
      </c>
      <c r="D7" s="2" t="s">
        <v>55</v>
      </c>
      <c r="E7" s="2" t="s">
        <v>31</v>
      </c>
      <c r="F7" s="2">
        <v>56</v>
      </c>
      <c r="G7" s="2" t="s">
        <v>56</v>
      </c>
      <c r="H7" s="3" t="s">
        <v>57</v>
      </c>
      <c r="I7" s="2"/>
      <c r="J7" s="2" t="s">
        <v>8</v>
      </c>
      <c r="K7" s="2">
        <v>146292</v>
      </c>
      <c r="L7" s="2">
        <v>4</v>
      </c>
      <c r="M7" s="2">
        <v>4</v>
      </c>
      <c r="N7" s="2" t="s">
        <v>6</v>
      </c>
      <c r="O7" s="2">
        <v>18</v>
      </c>
      <c r="P7" s="2">
        <f ca="1">ROUND((IF(I7="",TODAY(),I7)-H7)/365,1)</f>
        <v>3.4</v>
      </c>
      <c r="Q7" s="2" t="str">
        <f t="shared" si="0"/>
        <v>Medium</v>
      </c>
    </row>
    <row r="8" spans="1:17" x14ac:dyDescent="0.35">
      <c r="A8" s="2" t="s">
        <v>58</v>
      </c>
      <c r="B8" s="2" t="s">
        <v>59</v>
      </c>
      <c r="C8" s="2" t="s">
        <v>7</v>
      </c>
      <c r="D8" s="2" t="s">
        <v>37</v>
      </c>
      <c r="E8" s="2" t="s">
        <v>46</v>
      </c>
      <c r="F8" s="2">
        <v>24</v>
      </c>
      <c r="G8" s="2" t="s">
        <v>56</v>
      </c>
      <c r="H8" s="3" t="s">
        <v>60</v>
      </c>
      <c r="I8" s="2"/>
      <c r="J8" s="2" t="s">
        <v>8</v>
      </c>
      <c r="K8" s="2">
        <v>144686</v>
      </c>
      <c r="L8" s="2">
        <v>1</v>
      </c>
      <c r="M8" s="2">
        <v>3</v>
      </c>
      <c r="N8" s="2" t="s">
        <v>6</v>
      </c>
      <c r="O8" s="2">
        <v>14</v>
      </c>
      <c r="P8" s="2">
        <f ca="1">ROUND((IF(I8="",TODAY(),I8)-H8)/365,1)</f>
        <v>2.6</v>
      </c>
      <c r="Q8" s="2" t="str">
        <f t="shared" si="0"/>
        <v>Medium</v>
      </c>
    </row>
    <row r="9" spans="1:17" x14ac:dyDescent="0.35">
      <c r="A9" s="2" t="s">
        <v>61</v>
      </c>
      <c r="B9" s="2" t="s">
        <v>62</v>
      </c>
      <c r="C9" s="2" t="s">
        <v>9</v>
      </c>
      <c r="D9" s="2" t="s">
        <v>51</v>
      </c>
      <c r="E9" s="2" t="s">
        <v>46</v>
      </c>
      <c r="F9" s="2">
        <v>31</v>
      </c>
      <c r="G9" s="2" t="s">
        <v>56</v>
      </c>
      <c r="H9" s="3" t="s">
        <v>63</v>
      </c>
      <c r="I9" s="2"/>
      <c r="J9" s="2" t="s">
        <v>8</v>
      </c>
      <c r="K9" s="2">
        <v>122912</v>
      </c>
      <c r="L9" s="2">
        <v>5</v>
      </c>
      <c r="M9" s="2">
        <v>5</v>
      </c>
      <c r="N9" s="2" t="s">
        <v>6</v>
      </c>
      <c r="O9" s="2">
        <v>17</v>
      </c>
      <c r="P9" s="2">
        <f ca="1">ROUND((IF(I9="",TODAY(),I9)-H9)/365,1)</f>
        <v>8.6</v>
      </c>
      <c r="Q9" s="2" t="str">
        <f t="shared" si="0"/>
        <v>Medium</v>
      </c>
    </row>
    <row r="10" spans="1:17" x14ac:dyDescent="0.35">
      <c r="A10" s="2" t="s">
        <v>64</v>
      </c>
      <c r="B10" s="2" t="s">
        <v>65</v>
      </c>
      <c r="C10" s="2" t="s">
        <v>11</v>
      </c>
      <c r="D10" s="2" t="s">
        <v>66</v>
      </c>
      <c r="E10" s="2" t="s">
        <v>46</v>
      </c>
      <c r="F10" s="2">
        <v>54</v>
      </c>
      <c r="G10" s="2" t="s">
        <v>32</v>
      </c>
      <c r="H10" s="3" t="s">
        <v>67</v>
      </c>
      <c r="I10" s="2"/>
      <c r="J10" s="2" t="s">
        <v>8</v>
      </c>
      <c r="K10" s="2">
        <v>107240</v>
      </c>
      <c r="L10" s="2">
        <v>1</v>
      </c>
      <c r="M10" s="2">
        <v>1</v>
      </c>
      <c r="N10" s="2" t="s">
        <v>6</v>
      </c>
      <c r="O10" s="2">
        <v>10</v>
      </c>
      <c r="P10" s="2">
        <f ca="1">ROUND((IF(I10="",TODAY(),I10)-H10)/365,1)</f>
        <v>6.1</v>
      </c>
      <c r="Q10" s="2" t="str">
        <f t="shared" si="0"/>
        <v>High</v>
      </c>
    </row>
    <row r="11" spans="1:17" x14ac:dyDescent="0.35">
      <c r="A11" s="2" t="s">
        <v>68</v>
      </c>
      <c r="B11" s="2" t="s">
        <v>69</v>
      </c>
      <c r="C11" s="2" t="s">
        <v>10</v>
      </c>
      <c r="D11" s="2" t="s">
        <v>70</v>
      </c>
      <c r="E11" s="2" t="s">
        <v>31</v>
      </c>
      <c r="F11" s="2">
        <v>51</v>
      </c>
      <c r="G11" s="2" t="s">
        <v>32</v>
      </c>
      <c r="H11" s="3" t="s">
        <v>71</v>
      </c>
      <c r="I11" s="2"/>
      <c r="J11" s="2" t="s">
        <v>8</v>
      </c>
      <c r="K11" s="2">
        <v>119466</v>
      </c>
      <c r="L11" s="2">
        <v>1</v>
      </c>
      <c r="M11" s="2">
        <v>5</v>
      </c>
      <c r="N11" s="2" t="s">
        <v>6</v>
      </c>
      <c r="O11" s="2">
        <v>44</v>
      </c>
      <c r="P11" s="2">
        <f ca="1">ROUND((IF(I11="",TODAY(),I11)-H11)/365,1)</f>
        <v>5.7</v>
      </c>
      <c r="Q11" s="2" t="str">
        <f t="shared" si="0"/>
        <v>Medium</v>
      </c>
    </row>
    <row r="12" spans="1:17" x14ac:dyDescent="0.35">
      <c r="A12" s="2" t="s">
        <v>72</v>
      </c>
      <c r="B12" s="2" t="s">
        <v>73</v>
      </c>
      <c r="C12" s="2" t="s">
        <v>11</v>
      </c>
      <c r="D12" s="2" t="s">
        <v>66</v>
      </c>
      <c r="E12" s="2" t="s">
        <v>46</v>
      </c>
      <c r="F12" s="2">
        <v>49</v>
      </c>
      <c r="G12" s="2" t="s">
        <v>32</v>
      </c>
      <c r="H12" s="3" t="s">
        <v>74</v>
      </c>
      <c r="I12" s="2"/>
      <c r="J12" s="2" t="s">
        <v>8</v>
      </c>
      <c r="K12" s="2">
        <v>91542</v>
      </c>
      <c r="L12" s="2">
        <v>5</v>
      </c>
      <c r="M12" s="2">
        <v>3</v>
      </c>
      <c r="N12" s="2" t="s">
        <v>8</v>
      </c>
      <c r="O12" s="2">
        <v>12</v>
      </c>
      <c r="P12" s="2">
        <f ca="1">ROUND((IF(I12="",TODAY(),I12)-H12)/365,1)</f>
        <v>9.8000000000000007</v>
      </c>
      <c r="Q12" s="2" t="str">
        <f t="shared" si="0"/>
        <v>Low</v>
      </c>
    </row>
    <row r="13" spans="1:17" x14ac:dyDescent="0.35">
      <c r="A13" s="2" t="s">
        <v>75</v>
      </c>
      <c r="B13" s="2" t="s">
        <v>76</v>
      </c>
      <c r="C13" s="2" t="s">
        <v>9</v>
      </c>
      <c r="D13" s="2" t="s">
        <v>77</v>
      </c>
      <c r="E13" s="2" t="s">
        <v>31</v>
      </c>
      <c r="F13" s="2">
        <v>32</v>
      </c>
      <c r="G13" s="2" t="s">
        <v>78</v>
      </c>
      <c r="H13" s="3" t="s">
        <v>79</v>
      </c>
      <c r="I13" s="3" t="s">
        <v>80</v>
      </c>
      <c r="J13" s="2" t="s">
        <v>6</v>
      </c>
      <c r="K13" s="2">
        <v>67487</v>
      </c>
      <c r="L13" s="2">
        <v>1</v>
      </c>
      <c r="M13" s="2">
        <v>5</v>
      </c>
      <c r="N13" s="2" t="s">
        <v>8</v>
      </c>
      <c r="O13" s="2">
        <v>39</v>
      </c>
      <c r="P13" s="2">
        <f ca="1">ROUND((IF(I13="",TODAY(),I13)-H13)/365,1)</f>
        <v>5.4</v>
      </c>
      <c r="Q13" s="2" t="str">
        <f t="shared" si="0"/>
        <v>N/A</v>
      </c>
    </row>
    <row r="14" spans="1:17" x14ac:dyDescent="0.35">
      <c r="A14" s="2" t="s">
        <v>81</v>
      </c>
      <c r="B14" s="2" t="s">
        <v>82</v>
      </c>
      <c r="C14" s="2" t="s">
        <v>9</v>
      </c>
      <c r="D14" s="2" t="s">
        <v>41</v>
      </c>
      <c r="E14" s="2" t="s">
        <v>31</v>
      </c>
      <c r="F14" s="2">
        <v>58</v>
      </c>
      <c r="G14" s="2" t="s">
        <v>32</v>
      </c>
      <c r="H14" s="3" t="s">
        <v>83</v>
      </c>
      <c r="I14" s="3" t="s">
        <v>84</v>
      </c>
      <c r="J14" s="2" t="s">
        <v>6</v>
      </c>
      <c r="K14" s="2">
        <v>125379</v>
      </c>
      <c r="L14" s="2">
        <v>1</v>
      </c>
      <c r="M14" s="2">
        <v>4</v>
      </c>
      <c r="N14" s="2" t="s">
        <v>6</v>
      </c>
      <c r="O14" s="2">
        <v>35</v>
      </c>
      <c r="P14" s="2">
        <f ca="1">ROUND((IF(I14="",TODAY(),I14)-H14)/365,1)</f>
        <v>5.5</v>
      </c>
      <c r="Q14" s="2" t="str">
        <f t="shared" si="0"/>
        <v>N/A</v>
      </c>
    </row>
    <row r="15" spans="1:17" x14ac:dyDescent="0.35">
      <c r="A15" s="2" t="s">
        <v>85</v>
      </c>
      <c r="B15" s="2" t="s">
        <v>86</v>
      </c>
      <c r="C15" s="2" t="s">
        <v>11</v>
      </c>
      <c r="D15" s="2" t="s">
        <v>45</v>
      </c>
      <c r="E15" s="2" t="s">
        <v>46</v>
      </c>
      <c r="F15" s="2">
        <v>49</v>
      </c>
      <c r="G15" s="2" t="s">
        <v>56</v>
      </c>
      <c r="H15" s="3" t="s">
        <v>87</v>
      </c>
      <c r="I15" s="2"/>
      <c r="J15" s="2" t="s">
        <v>8</v>
      </c>
      <c r="K15" s="2">
        <v>113039</v>
      </c>
      <c r="L15" s="2">
        <v>3</v>
      </c>
      <c r="M15" s="2">
        <v>2</v>
      </c>
      <c r="N15" s="2" t="s">
        <v>8</v>
      </c>
      <c r="O15" s="2">
        <v>26</v>
      </c>
      <c r="P15" s="2">
        <f ca="1">ROUND((IF(I15="",TODAY(),I15)-H15)/365,1)</f>
        <v>9.1999999999999993</v>
      </c>
      <c r="Q15" s="2" t="str">
        <f t="shared" si="0"/>
        <v>Medium</v>
      </c>
    </row>
    <row r="16" spans="1:17" x14ac:dyDescent="0.35">
      <c r="A16" s="2" t="s">
        <v>88</v>
      </c>
      <c r="B16" s="2" t="s">
        <v>89</v>
      </c>
      <c r="C16" s="2" t="s">
        <v>11</v>
      </c>
      <c r="D16" s="2" t="s">
        <v>66</v>
      </c>
      <c r="E16" s="2" t="s">
        <v>31</v>
      </c>
      <c r="F16" s="2">
        <v>26</v>
      </c>
      <c r="G16" s="2" t="s">
        <v>32</v>
      </c>
      <c r="H16" s="3" t="s">
        <v>90</v>
      </c>
      <c r="I16" s="3" t="s">
        <v>91</v>
      </c>
      <c r="J16" s="2" t="s">
        <v>6</v>
      </c>
      <c r="K16" s="2">
        <v>53864</v>
      </c>
      <c r="L16" s="2">
        <v>2</v>
      </c>
      <c r="M16" s="2">
        <v>5</v>
      </c>
      <c r="N16" s="2" t="s">
        <v>6</v>
      </c>
      <c r="O16" s="2">
        <v>38</v>
      </c>
      <c r="P16" s="2">
        <f ca="1">ROUND((IF(I16="",TODAY(),I16)-H16)/365,1)</f>
        <v>7.2</v>
      </c>
      <c r="Q16" s="2" t="str">
        <f t="shared" si="0"/>
        <v>N/A</v>
      </c>
    </row>
    <row r="17" spans="1:17" x14ac:dyDescent="0.35">
      <c r="A17" s="2" t="s">
        <v>92</v>
      </c>
      <c r="B17" s="2" t="s">
        <v>93</v>
      </c>
      <c r="C17" s="2" t="s">
        <v>5</v>
      </c>
      <c r="D17" s="2" t="s">
        <v>94</v>
      </c>
      <c r="E17" s="2" t="s">
        <v>31</v>
      </c>
      <c r="F17" s="2">
        <v>26</v>
      </c>
      <c r="G17" s="2" t="s">
        <v>56</v>
      </c>
      <c r="H17" s="3" t="s">
        <v>95</v>
      </c>
      <c r="I17" s="2"/>
      <c r="J17" s="2" t="s">
        <v>8</v>
      </c>
      <c r="K17" s="2">
        <v>42342</v>
      </c>
      <c r="L17" s="2">
        <v>2</v>
      </c>
      <c r="M17" s="2">
        <v>4</v>
      </c>
      <c r="N17" s="2" t="s">
        <v>6</v>
      </c>
      <c r="O17" s="2">
        <v>35</v>
      </c>
      <c r="P17" s="2">
        <f ca="1">ROUND((IF(I17="",TODAY(),I17)-H17)/365,1)</f>
        <v>5.8</v>
      </c>
      <c r="Q17" s="2" t="str">
        <f t="shared" si="0"/>
        <v>Medium</v>
      </c>
    </row>
    <row r="18" spans="1:17" x14ac:dyDescent="0.35">
      <c r="A18" s="2" t="s">
        <v>96</v>
      </c>
      <c r="B18" s="2" t="s">
        <v>97</v>
      </c>
      <c r="C18" s="2" t="s">
        <v>11</v>
      </c>
      <c r="D18" s="2" t="s">
        <v>98</v>
      </c>
      <c r="E18" s="2" t="s">
        <v>46</v>
      </c>
      <c r="F18" s="2">
        <v>48</v>
      </c>
      <c r="G18" s="2" t="s">
        <v>78</v>
      </c>
      <c r="H18" s="3" t="s">
        <v>99</v>
      </c>
      <c r="I18" s="2"/>
      <c r="J18" s="2" t="s">
        <v>8</v>
      </c>
      <c r="K18" s="2">
        <v>78883</v>
      </c>
      <c r="L18" s="2">
        <v>3</v>
      </c>
      <c r="M18" s="2">
        <v>4</v>
      </c>
      <c r="N18" s="2" t="s">
        <v>6</v>
      </c>
      <c r="O18" s="2">
        <v>28</v>
      </c>
      <c r="P18" s="2">
        <f ca="1">ROUND((IF(I18="",TODAY(),I18)-H18)/365,1)</f>
        <v>9.5</v>
      </c>
      <c r="Q18" s="2" t="str">
        <f t="shared" si="0"/>
        <v>Medium</v>
      </c>
    </row>
    <row r="19" spans="1:17" x14ac:dyDescent="0.35">
      <c r="A19" s="2" t="s">
        <v>100</v>
      </c>
      <c r="B19" s="2" t="s">
        <v>101</v>
      </c>
      <c r="C19" s="2" t="s">
        <v>5</v>
      </c>
      <c r="D19" s="2" t="s">
        <v>102</v>
      </c>
      <c r="E19" s="2" t="s">
        <v>31</v>
      </c>
      <c r="F19" s="2">
        <v>43</v>
      </c>
      <c r="G19" s="2" t="s">
        <v>78</v>
      </c>
      <c r="H19" s="3" t="s">
        <v>103</v>
      </c>
      <c r="I19" s="3" t="s">
        <v>104</v>
      </c>
      <c r="J19" s="2" t="s">
        <v>6</v>
      </c>
      <c r="K19" s="2">
        <v>95292</v>
      </c>
      <c r="L19" s="2">
        <v>2</v>
      </c>
      <c r="M19" s="2">
        <v>2</v>
      </c>
      <c r="N19" s="2" t="s">
        <v>8</v>
      </c>
      <c r="O19" s="2">
        <v>13</v>
      </c>
      <c r="P19" s="2">
        <f ca="1">ROUND((IF(I19="",TODAY(),I19)-H19)/365,1)</f>
        <v>0.7</v>
      </c>
      <c r="Q19" s="2" t="str">
        <f t="shared" si="0"/>
        <v>N/A</v>
      </c>
    </row>
    <row r="20" spans="1:17" x14ac:dyDescent="0.35">
      <c r="A20" s="2" t="s">
        <v>105</v>
      </c>
      <c r="B20" s="2" t="s">
        <v>106</v>
      </c>
      <c r="C20" s="2" t="s">
        <v>9</v>
      </c>
      <c r="D20" s="2" t="s">
        <v>41</v>
      </c>
      <c r="E20" s="2" t="s">
        <v>31</v>
      </c>
      <c r="F20" s="2">
        <v>57</v>
      </c>
      <c r="G20" s="2" t="s">
        <v>32</v>
      </c>
      <c r="H20" s="3" t="s">
        <v>107</v>
      </c>
      <c r="I20" s="3" t="s">
        <v>108</v>
      </c>
      <c r="J20" s="2" t="s">
        <v>6</v>
      </c>
      <c r="K20" s="2">
        <v>146420</v>
      </c>
      <c r="L20" s="2">
        <v>1</v>
      </c>
      <c r="M20" s="2">
        <v>5</v>
      </c>
      <c r="N20" s="2" t="s">
        <v>6</v>
      </c>
      <c r="O20" s="2">
        <v>6</v>
      </c>
      <c r="P20" s="2">
        <f ca="1">ROUND((IF(I20="",TODAY(),I20)-H20)/365,1)</f>
        <v>5.6</v>
      </c>
      <c r="Q20" s="2" t="str">
        <f t="shared" si="0"/>
        <v>N/A</v>
      </c>
    </row>
    <row r="21" spans="1:17" x14ac:dyDescent="0.35">
      <c r="A21" s="2" t="s">
        <v>109</v>
      </c>
      <c r="B21" s="2" t="s">
        <v>110</v>
      </c>
      <c r="C21" s="2" t="s">
        <v>10</v>
      </c>
      <c r="D21" s="2" t="s">
        <v>111</v>
      </c>
      <c r="E21" s="2" t="s">
        <v>46</v>
      </c>
      <c r="F21" s="2">
        <v>46</v>
      </c>
      <c r="G21" s="2" t="s">
        <v>56</v>
      </c>
      <c r="H21" s="3" t="s">
        <v>112</v>
      </c>
      <c r="I21" s="2"/>
      <c r="J21" s="2" t="s">
        <v>8</v>
      </c>
      <c r="K21" s="2">
        <v>80444</v>
      </c>
      <c r="L21" s="2">
        <v>4</v>
      </c>
      <c r="M21" s="2">
        <v>3</v>
      </c>
      <c r="N21" s="2" t="s">
        <v>8</v>
      </c>
      <c r="O21" s="2">
        <v>19</v>
      </c>
      <c r="P21" s="2">
        <f ca="1">ROUND((IF(I21="",TODAY(),I21)-H21)/365,1)</f>
        <v>11.6</v>
      </c>
      <c r="Q21" s="2" t="str">
        <f t="shared" si="0"/>
        <v>Low</v>
      </c>
    </row>
    <row r="22" spans="1:17" x14ac:dyDescent="0.35">
      <c r="A22" s="2" t="s">
        <v>113</v>
      </c>
      <c r="B22" s="2" t="s">
        <v>114</v>
      </c>
      <c r="C22" s="2" t="s">
        <v>11</v>
      </c>
      <c r="D22" s="2" t="s">
        <v>98</v>
      </c>
      <c r="E22" s="2" t="s">
        <v>46</v>
      </c>
      <c r="F22" s="2">
        <v>40</v>
      </c>
      <c r="G22" s="2" t="s">
        <v>78</v>
      </c>
      <c r="H22" s="3" t="s">
        <v>115</v>
      </c>
      <c r="I22" s="3" t="s">
        <v>116</v>
      </c>
      <c r="J22" s="2" t="s">
        <v>6</v>
      </c>
      <c r="K22" s="2">
        <v>123038</v>
      </c>
      <c r="L22" s="2">
        <v>5</v>
      </c>
      <c r="M22" s="2">
        <v>5</v>
      </c>
      <c r="N22" s="2" t="s">
        <v>8</v>
      </c>
      <c r="O22" s="2">
        <v>4</v>
      </c>
      <c r="P22" s="2">
        <f ca="1">ROUND((IF(I22="",TODAY(),I22)-H22)/365,1)</f>
        <v>6.7</v>
      </c>
      <c r="Q22" s="2" t="str">
        <f t="shared" si="0"/>
        <v>N/A</v>
      </c>
    </row>
    <row r="23" spans="1:17" x14ac:dyDescent="0.35">
      <c r="A23" s="2" t="s">
        <v>117</v>
      </c>
      <c r="B23" s="2" t="s">
        <v>118</v>
      </c>
      <c r="C23" s="2" t="s">
        <v>10</v>
      </c>
      <c r="D23" s="2" t="s">
        <v>70</v>
      </c>
      <c r="E23" s="2" t="s">
        <v>31</v>
      </c>
      <c r="F23" s="2">
        <v>27</v>
      </c>
      <c r="G23" s="2" t="s">
        <v>32</v>
      </c>
      <c r="H23" s="3" t="s">
        <v>119</v>
      </c>
      <c r="I23" s="2"/>
      <c r="J23" s="2" t="s">
        <v>8</v>
      </c>
      <c r="K23" s="2">
        <v>137960</v>
      </c>
      <c r="L23" s="2">
        <v>1</v>
      </c>
      <c r="M23" s="2">
        <v>5</v>
      </c>
      <c r="N23" s="2" t="s">
        <v>6</v>
      </c>
      <c r="O23" s="2">
        <v>44</v>
      </c>
      <c r="P23" s="2">
        <f ca="1">ROUND((IF(I23="",TODAY(),I23)-H23)/365,1)</f>
        <v>2.1</v>
      </c>
      <c r="Q23" s="2" t="str">
        <f t="shared" si="0"/>
        <v>Medium</v>
      </c>
    </row>
    <row r="24" spans="1:17" x14ac:dyDescent="0.35">
      <c r="A24" s="2" t="s">
        <v>120</v>
      </c>
      <c r="B24" s="2" t="s">
        <v>121</v>
      </c>
      <c r="C24" s="2" t="s">
        <v>11</v>
      </c>
      <c r="D24" s="2" t="s">
        <v>45</v>
      </c>
      <c r="E24" s="2" t="s">
        <v>31</v>
      </c>
      <c r="F24" s="2">
        <v>48</v>
      </c>
      <c r="G24" s="2" t="s">
        <v>56</v>
      </c>
      <c r="H24" s="3" t="s">
        <v>122</v>
      </c>
      <c r="I24" s="2"/>
      <c r="J24" s="2" t="s">
        <v>8</v>
      </c>
      <c r="K24" s="2">
        <v>51772</v>
      </c>
      <c r="L24" s="2">
        <v>3</v>
      </c>
      <c r="M24" s="2">
        <v>5</v>
      </c>
      <c r="N24" s="2" t="s">
        <v>8</v>
      </c>
      <c r="O24" s="2">
        <v>17</v>
      </c>
      <c r="P24" s="2">
        <f ca="1">ROUND((IF(I24="",TODAY(),I24)-H24)/365,1)</f>
        <v>4.2</v>
      </c>
      <c r="Q24" s="2" t="str">
        <f t="shared" si="0"/>
        <v>Low</v>
      </c>
    </row>
    <row r="25" spans="1:17" x14ac:dyDescent="0.35">
      <c r="A25" s="2" t="s">
        <v>123</v>
      </c>
      <c r="B25" s="2" t="s">
        <v>124</v>
      </c>
      <c r="C25" s="2" t="s">
        <v>7</v>
      </c>
      <c r="D25" s="2" t="s">
        <v>125</v>
      </c>
      <c r="E25" s="2" t="s">
        <v>46</v>
      </c>
      <c r="F25" s="2">
        <v>51</v>
      </c>
      <c r="G25" s="2" t="s">
        <v>56</v>
      </c>
      <c r="H25" s="3" t="s">
        <v>126</v>
      </c>
      <c r="I25" s="2"/>
      <c r="J25" s="2" t="s">
        <v>8</v>
      </c>
      <c r="K25" s="2">
        <v>106416</v>
      </c>
      <c r="L25" s="2">
        <v>1</v>
      </c>
      <c r="M25" s="2">
        <v>1</v>
      </c>
      <c r="N25" s="2" t="s">
        <v>8</v>
      </c>
      <c r="O25" s="2">
        <v>30</v>
      </c>
      <c r="P25" s="2">
        <f ca="1">ROUND((IF(I25="",TODAY(),I25)-H25)/365,1)</f>
        <v>8.1</v>
      </c>
      <c r="Q25" s="2" t="str">
        <f t="shared" si="0"/>
        <v>Medium</v>
      </c>
    </row>
    <row r="26" spans="1:17" x14ac:dyDescent="0.35">
      <c r="A26" s="2" t="s">
        <v>127</v>
      </c>
      <c r="B26" s="2" t="s">
        <v>128</v>
      </c>
      <c r="C26" s="2" t="s">
        <v>5</v>
      </c>
      <c r="D26" s="2" t="s">
        <v>102</v>
      </c>
      <c r="E26" s="2" t="s">
        <v>31</v>
      </c>
      <c r="F26" s="2">
        <v>30</v>
      </c>
      <c r="G26" s="2" t="s">
        <v>32</v>
      </c>
      <c r="H26" s="3" t="s">
        <v>129</v>
      </c>
      <c r="I26" s="3" t="s">
        <v>130</v>
      </c>
      <c r="J26" s="2" t="s">
        <v>6</v>
      </c>
      <c r="K26" s="2">
        <v>62353</v>
      </c>
      <c r="L26" s="2">
        <v>2</v>
      </c>
      <c r="M26" s="2">
        <v>1</v>
      </c>
      <c r="N26" s="2" t="s">
        <v>6</v>
      </c>
      <c r="O26" s="2">
        <v>24</v>
      </c>
      <c r="P26" s="2">
        <f ca="1">ROUND((IF(I26="",TODAY(),I26)-H26)/365,1)</f>
        <v>0.9</v>
      </c>
      <c r="Q26" s="2" t="str">
        <f t="shared" si="0"/>
        <v>N/A</v>
      </c>
    </row>
    <row r="27" spans="1:17" x14ac:dyDescent="0.35">
      <c r="A27" s="2" t="s">
        <v>131</v>
      </c>
      <c r="B27" s="2" t="s">
        <v>132</v>
      </c>
      <c r="C27" s="2" t="s">
        <v>12</v>
      </c>
      <c r="D27" s="2" t="s">
        <v>133</v>
      </c>
      <c r="E27" s="2" t="s">
        <v>31</v>
      </c>
      <c r="F27" s="2">
        <v>28</v>
      </c>
      <c r="G27" s="2" t="s">
        <v>78</v>
      </c>
      <c r="H27" s="3" t="s">
        <v>134</v>
      </c>
      <c r="I27" s="3" t="s">
        <v>135</v>
      </c>
      <c r="J27" s="2" t="s">
        <v>6</v>
      </c>
      <c r="K27" s="2">
        <v>45374</v>
      </c>
      <c r="L27" s="2">
        <v>1</v>
      </c>
      <c r="M27" s="2">
        <v>1</v>
      </c>
      <c r="N27" s="2" t="s">
        <v>6</v>
      </c>
      <c r="O27" s="2">
        <v>36</v>
      </c>
      <c r="P27" s="2">
        <f ca="1">ROUND((IF(I27="",TODAY(),I27)-H27)/365,1)</f>
        <v>0.8</v>
      </c>
      <c r="Q27" s="2" t="str">
        <f t="shared" si="0"/>
        <v>N/A</v>
      </c>
    </row>
    <row r="28" spans="1:17" x14ac:dyDescent="0.35">
      <c r="A28" s="2" t="s">
        <v>136</v>
      </c>
      <c r="B28" s="2" t="s">
        <v>137</v>
      </c>
      <c r="C28" s="2" t="s">
        <v>12</v>
      </c>
      <c r="D28" s="2" t="s">
        <v>133</v>
      </c>
      <c r="E28" s="2" t="s">
        <v>31</v>
      </c>
      <c r="F28" s="2">
        <v>53</v>
      </c>
      <c r="G28" s="2" t="s">
        <v>78</v>
      </c>
      <c r="H28" s="3" t="s">
        <v>138</v>
      </c>
      <c r="I28" s="3" t="s">
        <v>139</v>
      </c>
      <c r="J28" s="2" t="s">
        <v>6</v>
      </c>
      <c r="K28" s="2">
        <v>80518</v>
      </c>
      <c r="L28" s="2">
        <v>1</v>
      </c>
      <c r="M28" s="2">
        <v>1</v>
      </c>
      <c r="N28" s="2" t="s">
        <v>8</v>
      </c>
      <c r="O28" s="2">
        <v>41</v>
      </c>
      <c r="P28" s="2">
        <f ca="1">ROUND((IF(I28="",TODAY(),I28)-H28)/365,1)</f>
        <v>3.9</v>
      </c>
      <c r="Q28" s="2" t="str">
        <f t="shared" si="0"/>
        <v>N/A</v>
      </c>
    </row>
    <row r="29" spans="1:17" x14ac:dyDescent="0.35">
      <c r="A29" s="2" t="s">
        <v>140</v>
      </c>
      <c r="B29" s="2" t="s">
        <v>141</v>
      </c>
      <c r="C29" s="2" t="s">
        <v>7</v>
      </c>
      <c r="D29" s="2" t="s">
        <v>37</v>
      </c>
      <c r="E29" s="2" t="s">
        <v>46</v>
      </c>
      <c r="F29" s="2">
        <v>57</v>
      </c>
      <c r="G29" s="2" t="s">
        <v>56</v>
      </c>
      <c r="H29" s="3" t="s">
        <v>142</v>
      </c>
      <c r="I29" s="2"/>
      <c r="J29" s="2" t="s">
        <v>8</v>
      </c>
      <c r="K29" s="2">
        <v>148869</v>
      </c>
      <c r="L29" s="2">
        <v>1</v>
      </c>
      <c r="M29" s="2">
        <v>1</v>
      </c>
      <c r="N29" s="2" t="s">
        <v>8</v>
      </c>
      <c r="O29" s="2">
        <v>5</v>
      </c>
      <c r="P29" s="2">
        <f ca="1">ROUND((IF(I29="",TODAY(),I29)-H29)/365,1)</f>
        <v>3.7</v>
      </c>
      <c r="Q29" s="2" t="str">
        <f t="shared" si="0"/>
        <v>Medium</v>
      </c>
    </row>
    <row r="30" spans="1:17" x14ac:dyDescent="0.35">
      <c r="A30" s="2" t="s">
        <v>143</v>
      </c>
      <c r="B30" s="2" t="s">
        <v>144</v>
      </c>
      <c r="C30" s="2" t="s">
        <v>11</v>
      </c>
      <c r="D30" s="2" t="s">
        <v>45</v>
      </c>
      <c r="E30" s="2" t="s">
        <v>46</v>
      </c>
      <c r="F30" s="2">
        <v>31</v>
      </c>
      <c r="G30" s="2" t="s">
        <v>78</v>
      </c>
      <c r="H30" s="3" t="s">
        <v>145</v>
      </c>
      <c r="I30" s="3" t="s">
        <v>146</v>
      </c>
      <c r="J30" s="2" t="s">
        <v>6</v>
      </c>
      <c r="K30" s="2">
        <v>142823</v>
      </c>
      <c r="L30" s="2">
        <v>3</v>
      </c>
      <c r="M30" s="2">
        <v>3</v>
      </c>
      <c r="N30" s="2" t="s">
        <v>6</v>
      </c>
      <c r="O30" s="2">
        <v>3</v>
      </c>
      <c r="P30" s="2">
        <f ca="1">ROUND((IF(I30="",TODAY(),I30)-H30)/365,1)</f>
        <v>3</v>
      </c>
      <c r="Q30" s="2" t="str">
        <f t="shared" si="0"/>
        <v>N/A</v>
      </c>
    </row>
    <row r="31" spans="1:17" x14ac:dyDescent="0.35">
      <c r="A31" s="2" t="s">
        <v>147</v>
      </c>
      <c r="B31" s="2" t="s">
        <v>148</v>
      </c>
      <c r="C31" s="2" t="s">
        <v>12</v>
      </c>
      <c r="D31" s="2" t="s">
        <v>30</v>
      </c>
      <c r="E31" s="2" t="s">
        <v>46</v>
      </c>
      <c r="F31" s="2">
        <v>31</v>
      </c>
      <c r="G31" s="2" t="s">
        <v>32</v>
      </c>
      <c r="H31" s="3" t="s">
        <v>149</v>
      </c>
      <c r="I31" s="2"/>
      <c r="J31" s="2" t="s">
        <v>8</v>
      </c>
      <c r="K31" s="2">
        <v>28248</v>
      </c>
      <c r="L31" s="2">
        <v>2</v>
      </c>
      <c r="M31" s="2">
        <v>2</v>
      </c>
      <c r="N31" s="2" t="s">
        <v>8</v>
      </c>
      <c r="O31" s="2">
        <v>27</v>
      </c>
      <c r="P31" s="2">
        <f ca="1">ROUND((IF(I31="",TODAY(),I31)-H31)/365,1)</f>
        <v>1.2</v>
      </c>
      <c r="Q31" s="2" t="str">
        <f t="shared" si="0"/>
        <v>Medium</v>
      </c>
    </row>
    <row r="32" spans="1:17" x14ac:dyDescent="0.35">
      <c r="A32" s="2" t="s">
        <v>150</v>
      </c>
      <c r="B32" s="2" t="s">
        <v>151</v>
      </c>
      <c r="C32" s="2" t="s">
        <v>9</v>
      </c>
      <c r="D32" s="2" t="s">
        <v>41</v>
      </c>
      <c r="E32" s="2" t="s">
        <v>31</v>
      </c>
      <c r="F32" s="2">
        <v>28</v>
      </c>
      <c r="G32" s="2" t="s">
        <v>78</v>
      </c>
      <c r="H32" s="3" t="s">
        <v>152</v>
      </c>
      <c r="I32" s="2"/>
      <c r="J32" s="2" t="s">
        <v>8</v>
      </c>
      <c r="K32" s="2">
        <v>132031</v>
      </c>
      <c r="L32" s="2">
        <v>2</v>
      </c>
      <c r="M32" s="2">
        <v>4</v>
      </c>
      <c r="N32" s="2" t="s">
        <v>8</v>
      </c>
      <c r="O32" s="2">
        <v>13</v>
      </c>
      <c r="P32" s="2">
        <f ca="1">ROUND((IF(I32="",TODAY(),I32)-H32)/365,1)</f>
        <v>7.3</v>
      </c>
      <c r="Q32" s="2" t="str">
        <f t="shared" si="0"/>
        <v>Low</v>
      </c>
    </row>
    <row r="33" spans="1:17" x14ac:dyDescent="0.35">
      <c r="A33" s="2" t="s">
        <v>153</v>
      </c>
      <c r="B33" s="2" t="s">
        <v>154</v>
      </c>
      <c r="C33" s="2" t="s">
        <v>7</v>
      </c>
      <c r="D33" s="2" t="s">
        <v>155</v>
      </c>
      <c r="E33" s="2" t="s">
        <v>31</v>
      </c>
      <c r="F33" s="2">
        <v>43</v>
      </c>
      <c r="G33" s="2" t="s">
        <v>78</v>
      </c>
      <c r="H33" s="3" t="s">
        <v>156</v>
      </c>
      <c r="I33" s="2"/>
      <c r="J33" s="2" t="s">
        <v>8</v>
      </c>
      <c r="K33" s="2">
        <v>91768</v>
      </c>
      <c r="L33" s="2">
        <v>3</v>
      </c>
      <c r="M33" s="2">
        <v>3</v>
      </c>
      <c r="N33" s="2" t="s">
        <v>8</v>
      </c>
      <c r="O33" s="2">
        <v>42</v>
      </c>
      <c r="P33" s="2">
        <f ca="1">ROUND((IF(I33="",TODAY(),I33)-H33)/365,1)</f>
        <v>8.5</v>
      </c>
      <c r="Q33" s="2" t="str">
        <f t="shared" si="0"/>
        <v>Low</v>
      </c>
    </row>
    <row r="34" spans="1:17" x14ac:dyDescent="0.35">
      <c r="A34" s="2" t="s">
        <v>157</v>
      </c>
      <c r="B34" s="2" t="s">
        <v>158</v>
      </c>
      <c r="C34" s="2" t="s">
        <v>11</v>
      </c>
      <c r="D34" s="2" t="s">
        <v>66</v>
      </c>
      <c r="E34" s="2" t="s">
        <v>31</v>
      </c>
      <c r="F34" s="2">
        <v>33</v>
      </c>
      <c r="G34" s="2" t="s">
        <v>78</v>
      </c>
      <c r="H34" s="3" t="s">
        <v>159</v>
      </c>
      <c r="I34" s="2"/>
      <c r="J34" s="2" t="s">
        <v>8</v>
      </c>
      <c r="K34" s="2">
        <v>103193</v>
      </c>
      <c r="L34" s="2">
        <v>1</v>
      </c>
      <c r="M34" s="2">
        <v>3</v>
      </c>
      <c r="N34" s="2" t="s">
        <v>8</v>
      </c>
      <c r="O34" s="2">
        <v>7</v>
      </c>
      <c r="P34" s="2">
        <f ca="1">ROUND((IF(I34="",TODAY(),I34)-H34)/365,1)</f>
        <v>5.0999999999999996</v>
      </c>
      <c r="Q34" s="2" t="str">
        <f t="shared" si="0"/>
        <v>Low</v>
      </c>
    </row>
    <row r="35" spans="1:17" x14ac:dyDescent="0.35">
      <c r="A35" s="2" t="s">
        <v>160</v>
      </c>
      <c r="B35" s="2" t="s">
        <v>161</v>
      </c>
      <c r="C35" s="2" t="s">
        <v>9</v>
      </c>
      <c r="D35" s="2" t="s">
        <v>41</v>
      </c>
      <c r="E35" s="2" t="s">
        <v>31</v>
      </c>
      <c r="F35" s="2">
        <v>34</v>
      </c>
      <c r="G35" s="2" t="s">
        <v>56</v>
      </c>
      <c r="H35" s="3" t="s">
        <v>162</v>
      </c>
      <c r="I35" s="2"/>
      <c r="J35" s="2" t="s">
        <v>8</v>
      </c>
      <c r="K35" s="2">
        <v>146316</v>
      </c>
      <c r="L35" s="2">
        <v>1</v>
      </c>
      <c r="M35" s="2">
        <v>4</v>
      </c>
      <c r="N35" s="2" t="s">
        <v>6</v>
      </c>
      <c r="O35" s="2">
        <v>34</v>
      </c>
      <c r="P35" s="2">
        <f ca="1">ROUND((IF(I35="",TODAY(),I35)-H35)/365,1)</f>
        <v>8.8000000000000007</v>
      </c>
      <c r="Q35" s="2" t="str">
        <f t="shared" si="0"/>
        <v>Medium</v>
      </c>
    </row>
    <row r="36" spans="1:17" x14ac:dyDescent="0.35">
      <c r="A36" s="2" t="s">
        <v>163</v>
      </c>
      <c r="B36" s="2" t="s">
        <v>164</v>
      </c>
      <c r="C36" s="2" t="s">
        <v>12</v>
      </c>
      <c r="D36" s="2" t="s">
        <v>55</v>
      </c>
      <c r="E36" s="2" t="s">
        <v>31</v>
      </c>
      <c r="F36" s="2">
        <v>26</v>
      </c>
      <c r="G36" s="2" t="s">
        <v>32</v>
      </c>
      <c r="H36" s="3" t="s">
        <v>165</v>
      </c>
      <c r="I36" s="2"/>
      <c r="J36" s="2" t="s">
        <v>8</v>
      </c>
      <c r="K36" s="2">
        <v>136151</v>
      </c>
      <c r="L36" s="2">
        <v>3</v>
      </c>
      <c r="M36" s="2">
        <v>5</v>
      </c>
      <c r="N36" s="2" t="s">
        <v>8</v>
      </c>
      <c r="O36" s="2">
        <v>43</v>
      </c>
      <c r="P36" s="2">
        <f ca="1">ROUND((IF(I36="",TODAY(),I36)-H36)/365,1)</f>
        <v>4.2</v>
      </c>
      <c r="Q36" s="2" t="str">
        <f t="shared" si="0"/>
        <v>Low</v>
      </c>
    </row>
    <row r="37" spans="1:17" x14ac:dyDescent="0.35">
      <c r="A37" s="2" t="s">
        <v>166</v>
      </c>
      <c r="B37" s="2" t="s">
        <v>167</v>
      </c>
      <c r="C37" s="2" t="s">
        <v>9</v>
      </c>
      <c r="D37" s="2" t="s">
        <v>77</v>
      </c>
      <c r="E37" s="2" t="s">
        <v>46</v>
      </c>
      <c r="F37" s="2">
        <v>47</v>
      </c>
      <c r="G37" s="2" t="s">
        <v>78</v>
      </c>
      <c r="H37" s="3" t="s">
        <v>168</v>
      </c>
      <c r="I37" s="2"/>
      <c r="J37" s="2" t="s">
        <v>8</v>
      </c>
      <c r="K37" s="2">
        <v>112153</v>
      </c>
      <c r="L37" s="2">
        <v>2</v>
      </c>
      <c r="M37" s="2">
        <v>2</v>
      </c>
      <c r="N37" s="2" t="s">
        <v>6</v>
      </c>
      <c r="O37" s="2">
        <v>27</v>
      </c>
      <c r="P37" s="2">
        <f ca="1">ROUND((IF(I37="",TODAY(),I37)-H37)/365,1)</f>
        <v>3.8</v>
      </c>
      <c r="Q37" s="2" t="str">
        <f t="shared" si="0"/>
        <v>High</v>
      </c>
    </row>
    <row r="38" spans="1:17" x14ac:dyDescent="0.35">
      <c r="A38" s="2" t="s">
        <v>169</v>
      </c>
      <c r="B38" s="2" t="s">
        <v>170</v>
      </c>
      <c r="C38" s="2" t="s">
        <v>7</v>
      </c>
      <c r="D38" s="2" t="s">
        <v>37</v>
      </c>
      <c r="E38" s="2" t="s">
        <v>46</v>
      </c>
      <c r="F38" s="2">
        <v>22</v>
      </c>
      <c r="G38" s="2" t="s">
        <v>78</v>
      </c>
      <c r="H38" s="3" t="s">
        <v>171</v>
      </c>
      <c r="I38" s="2"/>
      <c r="J38" s="2" t="s">
        <v>8</v>
      </c>
      <c r="K38" s="2">
        <v>110813</v>
      </c>
      <c r="L38" s="2">
        <v>5</v>
      </c>
      <c r="M38" s="2">
        <v>4</v>
      </c>
      <c r="N38" s="2" t="s">
        <v>6</v>
      </c>
      <c r="O38" s="2">
        <v>39</v>
      </c>
      <c r="P38" s="2">
        <f ca="1">ROUND((IF(I38="",TODAY(),I38)-H38)/365,1)</f>
        <v>8.1999999999999993</v>
      </c>
      <c r="Q38" s="2" t="str">
        <f t="shared" si="0"/>
        <v>Medium</v>
      </c>
    </row>
    <row r="39" spans="1:17" x14ac:dyDescent="0.35">
      <c r="A39" s="2" t="s">
        <v>172</v>
      </c>
      <c r="B39" s="2" t="s">
        <v>173</v>
      </c>
      <c r="C39" s="2" t="s">
        <v>10</v>
      </c>
      <c r="D39" s="2" t="s">
        <v>70</v>
      </c>
      <c r="E39" s="2" t="s">
        <v>31</v>
      </c>
      <c r="F39" s="2">
        <v>32</v>
      </c>
      <c r="G39" s="2" t="s">
        <v>32</v>
      </c>
      <c r="H39" s="3" t="s">
        <v>174</v>
      </c>
      <c r="I39" s="2"/>
      <c r="J39" s="2" t="s">
        <v>8</v>
      </c>
      <c r="K39" s="2">
        <v>37240</v>
      </c>
      <c r="L39" s="2">
        <v>5</v>
      </c>
      <c r="M39" s="2">
        <v>5</v>
      </c>
      <c r="N39" s="2" t="s">
        <v>6</v>
      </c>
      <c r="O39" s="2">
        <v>22</v>
      </c>
      <c r="P39" s="2">
        <f ca="1">ROUND((IF(I39="",TODAY(),I39)-H39)/365,1)</f>
        <v>4.2</v>
      </c>
      <c r="Q39" s="2" t="str">
        <f t="shared" si="0"/>
        <v>Medium</v>
      </c>
    </row>
    <row r="40" spans="1:17" x14ac:dyDescent="0.35">
      <c r="A40" s="2" t="s">
        <v>175</v>
      </c>
      <c r="B40" s="2" t="s">
        <v>176</v>
      </c>
      <c r="C40" s="2" t="s">
        <v>7</v>
      </c>
      <c r="D40" s="2" t="s">
        <v>155</v>
      </c>
      <c r="E40" s="2" t="s">
        <v>31</v>
      </c>
      <c r="F40" s="2">
        <v>37</v>
      </c>
      <c r="G40" s="2" t="s">
        <v>56</v>
      </c>
      <c r="H40" s="3" t="s">
        <v>177</v>
      </c>
      <c r="I40" s="2"/>
      <c r="J40" s="2" t="s">
        <v>8</v>
      </c>
      <c r="K40" s="2">
        <v>141147</v>
      </c>
      <c r="L40" s="2">
        <v>4</v>
      </c>
      <c r="M40" s="2">
        <v>1</v>
      </c>
      <c r="N40" s="2" t="s">
        <v>8</v>
      </c>
      <c r="O40" s="2">
        <v>27</v>
      </c>
      <c r="P40" s="2">
        <f ca="1">ROUND((IF(I40="",TODAY(),I40)-H40)/365,1)</f>
        <v>6.3</v>
      </c>
      <c r="Q40" s="2" t="str">
        <f t="shared" si="0"/>
        <v>Medium</v>
      </c>
    </row>
    <row r="41" spans="1:17" x14ac:dyDescent="0.35">
      <c r="A41" s="2" t="s">
        <v>178</v>
      </c>
      <c r="B41" s="2" t="s">
        <v>179</v>
      </c>
      <c r="C41" s="2" t="s">
        <v>12</v>
      </c>
      <c r="D41" s="2" t="s">
        <v>55</v>
      </c>
      <c r="E41" s="2" t="s">
        <v>46</v>
      </c>
      <c r="F41" s="2">
        <v>37</v>
      </c>
      <c r="G41" s="2" t="s">
        <v>32</v>
      </c>
      <c r="H41" s="3" t="s">
        <v>180</v>
      </c>
      <c r="I41" s="2"/>
      <c r="J41" s="2" t="s">
        <v>8</v>
      </c>
      <c r="K41" s="2">
        <v>53683</v>
      </c>
      <c r="L41" s="2">
        <v>1</v>
      </c>
      <c r="M41" s="2">
        <v>1</v>
      </c>
      <c r="N41" s="2" t="s">
        <v>8</v>
      </c>
      <c r="O41" s="2">
        <v>28</v>
      </c>
      <c r="P41" s="2">
        <f ca="1">ROUND((IF(I41="",TODAY(),I41)-H41)/365,1)</f>
        <v>10</v>
      </c>
      <c r="Q41" s="2" t="str">
        <f t="shared" si="0"/>
        <v>Medium</v>
      </c>
    </row>
    <row r="42" spans="1:17" x14ac:dyDescent="0.35">
      <c r="A42" s="2" t="s">
        <v>181</v>
      </c>
      <c r="B42" s="2" t="s">
        <v>182</v>
      </c>
      <c r="C42" s="2" t="s">
        <v>12</v>
      </c>
      <c r="D42" s="2" t="s">
        <v>55</v>
      </c>
      <c r="E42" s="2" t="s">
        <v>46</v>
      </c>
      <c r="F42" s="2">
        <v>37</v>
      </c>
      <c r="G42" s="2" t="s">
        <v>56</v>
      </c>
      <c r="H42" s="3" t="s">
        <v>183</v>
      </c>
      <c r="I42" s="2"/>
      <c r="J42" s="2" t="s">
        <v>8</v>
      </c>
      <c r="K42" s="2">
        <v>112500</v>
      </c>
      <c r="L42" s="2">
        <v>2</v>
      </c>
      <c r="M42" s="2">
        <v>4</v>
      </c>
      <c r="N42" s="2" t="s">
        <v>8</v>
      </c>
      <c r="O42" s="2">
        <v>30</v>
      </c>
      <c r="P42" s="2">
        <f ca="1">ROUND((IF(I42="",TODAY(),I42)-H42)/365,1)</f>
        <v>1.3</v>
      </c>
      <c r="Q42" s="2" t="str">
        <f t="shared" si="0"/>
        <v>Low</v>
      </c>
    </row>
    <row r="43" spans="1:17" x14ac:dyDescent="0.35">
      <c r="A43" s="2" t="s">
        <v>184</v>
      </c>
      <c r="B43" s="2" t="s">
        <v>185</v>
      </c>
      <c r="C43" s="2" t="s">
        <v>11</v>
      </c>
      <c r="D43" s="2" t="s">
        <v>66</v>
      </c>
      <c r="E43" s="2" t="s">
        <v>46</v>
      </c>
      <c r="F43" s="2">
        <v>49</v>
      </c>
      <c r="G43" s="2" t="s">
        <v>78</v>
      </c>
      <c r="H43" s="3" t="s">
        <v>186</v>
      </c>
      <c r="I43" s="2"/>
      <c r="J43" s="2" t="s">
        <v>8</v>
      </c>
      <c r="K43" s="2">
        <v>83991</v>
      </c>
      <c r="L43" s="2">
        <v>2</v>
      </c>
      <c r="M43" s="2">
        <v>4</v>
      </c>
      <c r="N43" s="2" t="s">
        <v>8</v>
      </c>
      <c r="O43" s="2">
        <v>31</v>
      </c>
      <c r="P43" s="2">
        <f ca="1">ROUND((IF(I43="",TODAY(),I43)-H43)/365,1)</f>
        <v>2.2999999999999998</v>
      </c>
      <c r="Q43" s="2" t="str">
        <f t="shared" si="0"/>
        <v>Low</v>
      </c>
    </row>
    <row r="44" spans="1:17" x14ac:dyDescent="0.35">
      <c r="A44" s="2" t="s">
        <v>187</v>
      </c>
      <c r="B44" s="2" t="s">
        <v>188</v>
      </c>
      <c r="C44" s="2" t="s">
        <v>12</v>
      </c>
      <c r="D44" s="2" t="s">
        <v>133</v>
      </c>
      <c r="E44" s="2" t="s">
        <v>46</v>
      </c>
      <c r="F44" s="2">
        <v>50</v>
      </c>
      <c r="G44" s="2" t="s">
        <v>56</v>
      </c>
      <c r="H44" s="3" t="s">
        <v>189</v>
      </c>
      <c r="I44" s="3" t="s">
        <v>190</v>
      </c>
      <c r="J44" s="2" t="s">
        <v>6</v>
      </c>
      <c r="K44" s="2">
        <v>66904</v>
      </c>
      <c r="L44" s="2">
        <v>3</v>
      </c>
      <c r="M44" s="2">
        <v>2</v>
      </c>
      <c r="N44" s="2" t="s">
        <v>8</v>
      </c>
      <c r="O44" s="2">
        <v>22</v>
      </c>
      <c r="P44" s="2">
        <f ca="1">ROUND((IF(I44="",TODAY(),I44)-H44)/365,1)</f>
        <v>1.9</v>
      </c>
      <c r="Q44" s="2" t="str">
        <f t="shared" si="0"/>
        <v>N/A</v>
      </c>
    </row>
    <row r="45" spans="1:17" x14ac:dyDescent="0.35">
      <c r="A45" s="2" t="s">
        <v>191</v>
      </c>
      <c r="B45" s="2" t="s">
        <v>192</v>
      </c>
      <c r="C45" s="2" t="s">
        <v>7</v>
      </c>
      <c r="D45" s="2" t="s">
        <v>125</v>
      </c>
      <c r="E45" s="2" t="s">
        <v>31</v>
      </c>
      <c r="F45" s="2">
        <v>48</v>
      </c>
      <c r="G45" s="2" t="s">
        <v>78</v>
      </c>
      <c r="H45" s="3" t="s">
        <v>193</v>
      </c>
      <c r="I45" s="2"/>
      <c r="J45" s="2" t="s">
        <v>8</v>
      </c>
      <c r="K45" s="2">
        <v>52110</v>
      </c>
      <c r="L45" s="2">
        <v>4</v>
      </c>
      <c r="M45" s="2">
        <v>4</v>
      </c>
      <c r="N45" s="2" t="s">
        <v>6</v>
      </c>
      <c r="O45" s="2">
        <v>4</v>
      </c>
      <c r="P45" s="2">
        <f ca="1">ROUND((IF(I45="",TODAY(),I45)-H45)/365,1)</f>
        <v>7</v>
      </c>
      <c r="Q45" s="2" t="str">
        <f t="shared" si="0"/>
        <v>Medium</v>
      </c>
    </row>
    <row r="46" spans="1:17" x14ac:dyDescent="0.35">
      <c r="A46" s="2" t="s">
        <v>194</v>
      </c>
      <c r="B46" s="2" t="s">
        <v>195</v>
      </c>
      <c r="C46" s="2" t="s">
        <v>11</v>
      </c>
      <c r="D46" s="2" t="s">
        <v>98</v>
      </c>
      <c r="E46" s="2" t="s">
        <v>31</v>
      </c>
      <c r="F46" s="2">
        <v>52</v>
      </c>
      <c r="G46" s="2" t="s">
        <v>56</v>
      </c>
      <c r="H46" s="3" t="s">
        <v>196</v>
      </c>
      <c r="I46" s="2"/>
      <c r="J46" s="2" t="s">
        <v>8</v>
      </c>
      <c r="K46" s="2">
        <v>95545</v>
      </c>
      <c r="L46" s="2">
        <v>4</v>
      </c>
      <c r="M46" s="2">
        <v>3</v>
      </c>
      <c r="N46" s="2" t="s">
        <v>8</v>
      </c>
      <c r="O46" s="2">
        <v>27</v>
      </c>
      <c r="P46" s="2">
        <f ca="1">ROUND((IF(I46="",TODAY(),I46)-H46)/365,1)</f>
        <v>11.5</v>
      </c>
      <c r="Q46" s="2" t="str">
        <f t="shared" si="0"/>
        <v>Low</v>
      </c>
    </row>
    <row r="47" spans="1:17" x14ac:dyDescent="0.35">
      <c r="A47" s="2" t="s">
        <v>197</v>
      </c>
      <c r="B47" s="2" t="s">
        <v>188</v>
      </c>
      <c r="C47" s="2" t="s">
        <v>11</v>
      </c>
      <c r="D47" s="2" t="s">
        <v>45</v>
      </c>
      <c r="E47" s="2" t="s">
        <v>46</v>
      </c>
      <c r="F47" s="2">
        <v>49</v>
      </c>
      <c r="G47" s="2" t="s">
        <v>78</v>
      </c>
      <c r="H47" s="3" t="s">
        <v>198</v>
      </c>
      <c r="I47" s="2"/>
      <c r="J47" s="2" t="s">
        <v>8</v>
      </c>
      <c r="K47" s="2">
        <v>135166</v>
      </c>
      <c r="L47" s="2">
        <v>4</v>
      </c>
      <c r="M47" s="2">
        <v>3</v>
      </c>
      <c r="N47" s="2" t="s">
        <v>6</v>
      </c>
      <c r="O47" s="2">
        <v>11</v>
      </c>
      <c r="P47" s="2">
        <f ca="1">ROUND((IF(I47="",TODAY(),I47)-H47)/365,1)</f>
        <v>6.2</v>
      </c>
      <c r="Q47" s="2" t="str">
        <f t="shared" si="0"/>
        <v>Medium</v>
      </c>
    </row>
    <row r="48" spans="1:17" x14ac:dyDescent="0.35">
      <c r="A48" s="2" t="s">
        <v>199</v>
      </c>
      <c r="B48" s="2" t="s">
        <v>161</v>
      </c>
      <c r="C48" s="2" t="s">
        <v>11</v>
      </c>
      <c r="D48" s="2" t="s">
        <v>98</v>
      </c>
      <c r="E48" s="2" t="s">
        <v>31</v>
      </c>
      <c r="F48" s="2">
        <v>58</v>
      </c>
      <c r="G48" s="2" t="s">
        <v>32</v>
      </c>
      <c r="H48" s="3" t="s">
        <v>200</v>
      </c>
      <c r="I48" s="3" t="s">
        <v>201</v>
      </c>
      <c r="J48" s="2" t="s">
        <v>6</v>
      </c>
      <c r="K48" s="2">
        <v>48819</v>
      </c>
      <c r="L48" s="2">
        <v>2</v>
      </c>
      <c r="M48" s="2">
        <v>4</v>
      </c>
      <c r="N48" s="2" t="s">
        <v>6</v>
      </c>
      <c r="O48" s="2">
        <v>30</v>
      </c>
      <c r="P48" s="2">
        <f ca="1">ROUND((IF(I48="",TODAY(),I48)-H48)/365,1)</f>
        <v>2</v>
      </c>
      <c r="Q48" s="2" t="str">
        <f t="shared" si="0"/>
        <v>N/A</v>
      </c>
    </row>
    <row r="49" spans="1:17" x14ac:dyDescent="0.35">
      <c r="A49" s="2" t="s">
        <v>202</v>
      </c>
      <c r="B49" s="2" t="s">
        <v>203</v>
      </c>
      <c r="C49" s="2" t="s">
        <v>7</v>
      </c>
      <c r="D49" s="2" t="s">
        <v>125</v>
      </c>
      <c r="E49" s="2" t="s">
        <v>46</v>
      </c>
      <c r="F49" s="2">
        <v>39</v>
      </c>
      <c r="G49" s="2" t="s">
        <v>32</v>
      </c>
      <c r="H49" s="3" t="s">
        <v>204</v>
      </c>
      <c r="I49" s="2"/>
      <c r="J49" s="2" t="s">
        <v>8</v>
      </c>
      <c r="K49" s="2">
        <v>86644</v>
      </c>
      <c r="L49" s="2">
        <v>3</v>
      </c>
      <c r="M49" s="2">
        <v>4</v>
      </c>
      <c r="N49" s="2" t="s">
        <v>8</v>
      </c>
      <c r="O49" s="2">
        <v>6</v>
      </c>
      <c r="P49" s="2">
        <f ca="1">ROUND((IF(I49="",TODAY(),I49)-H49)/365,1)</f>
        <v>3.2</v>
      </c>
      <c r="Q49" s="2" t="str">
        <f t="shared" si="0"/>
        <v>Low</v>
      </c>
    </row>
    <row r="50" spans="1:17" x14ac:dyDescent="0.35">
      <c r="A50" s="2" t="s">
        <v>205</v>
      </c>
      <c r="B50" s="2" t="s">
        <v>206</v>
      </c>
      <c r="C50" s="2" t="s">
        <v>5</v>
      </c>
      <c r="D50" s="2" t="s">
        <v>207</v>
      </c>
      <c r="E50" s="2" t="s">
        <v>31</v>
      </c>
      <c r="F50" s="2">
        <v>23</v>
      </c>
      <c r="G50" s="2" t="s">
        <v>32</v>
      </c>
      <c r="H50" s="3" t="s">
        <v>208</v>
      </c>
      <c r="I50" s="2"/>
      <c r="J50" s="2" t="s">
        <v>8</v>
      </c>
      <c r="K50" s="2">
        <v>56266</v>
      </c>
      <c r="L50" s="2">
        <v>5</v>
      </c>
      <c r="M50" s="2">
        <v>1</v>
      </c>
      <c r="N50" s="2" t="s">
        <v>6</v>
      </c>
      <c r="O50" s="2">
        <v>10</v>
      </c>
      <c r="P50" s="2">
        <f ca="1">ROUND((IF(I50="",TODAY(),I50)-H50)/365,1)</f>
        <v>8.8000000000000007</v>
      </c>
      <c r="Q50" s="2" t="str">
        <f t="shared" si="0"/>
        <v>High</v>
      </c>
    </row>
    <row r="51" spans="1:17" x14ac:dyDescent="0.35">
      <c r="A51" s="2" t="s">
        <v>209</v>
      </c>
      <c r="B51" s="2" t="s">
        <v>210</v>
      </c>
      <c r="C51" s="2" t="s">
        <v>5</v>
      </c>
      <c r="D51" s="2" t="s">
        <v>102</v>
      </c>
      <c r="E51" s="2" t="s">
        <v>31</v>
      </c>
      <c r="F51" s="2">
        <v>45</v>
      </c>
      <c r="G51" s="2" t="s">
        <v>56</v>
      </c>
      <c r="H51" s="3" t="s">
        <v>211</v>
      </c>
      <c r="I51" s="3" t="s">
        <v>212</v>
      </c>
      <c r="J51" s="2" t="s">
        <v>6</v>
      </c>
      <c r="K51" s="2">
        <v>39168</v>
      </c>
      <c r="L51" s="2">
        <v>2</v>
      </c>
      <c r="M51" s="2">
        <v>1</v>
      </c>
      <c r="N51" s="2" t="s">
        <v>8</v>
      </c>
      <c r="O51" s="2">
        <v>20</v>
      </c>
      <c r="P51" s="2">
        <f ca="1">ROUND((IF(I51="",TODAY(),I51)-H51)/365,1)</f>
        <v>3.7</v>
      </c>
      <c r="Q51" s="2" t="str">
        <f t="shared" si="0"/>
        <v>N/A</v>
      </c>
    </row>
    <row r="52" spans="1:17" x14ac:dyDescent="0.35">
      <c r="A52" s="2" t="s">
        <v>213</v>
      </c>
      <c r="B52" s="2" t="s">
        <v>214</v>
      </c>
      <c r="C52" s="2" t="s">
        <v>11</v>
      </c>
      <c r="D52" s="2" t="s">
        <v>98</v>
      </c>
      <c r="E52" s="2" t="s">
        <v>46</v>
      </c>
      <c r="F52" s="2">
        <v>26</v>
      </c>
      <c r="G52" s="2" t="s">
        <v>78</v>
      </c>
      <c r="H52" s="3" t="s">
        <v>215</v>
      </c>
      <c r="I52" s="2"/>
      <c r="J52" s="2" t="s">
        <v>8</v>
      </c>
      <c r="K52" s="2">
        <v>126250</v>
      </c>
      <c r="L52" s="2">
        <v>1</v>
      </c>
      <c r="M52" s="2">
        <v>2</v>
      </c>
      <c r="N52" s="2" t="s">
        <v>8</v>
      </c>
      <c r="O52" s="2">
        <v>45</v>
      </c>
      <c r="P52" s="2">
        <f ca="1">ROUND((IF(I52="",TODAY(),I52)-H52)/365,1)</f>
        <v>5</v>
      </c>
      <c r="Q52" s="2" t="str">
        <f t="shared" si="0"/>
        <v>Medium</v>
      </c>
    </row>
    <row r="53" spans="1:17" x14ac:dyDescent="0.35">
      <c r="A53" s="2" t="s">
        <v>216</v>
      </c>
      <c r="B53" s="2" t="s">
        <v>217</v>
      </c>
      <c r="C53" s="2" t="s">
        <v>11</v>
      </c>
      <c r="D53" s="2" t="s">
        <v>45</v>
      </c>
      <c r="E53" s="2" t="s">
        <v>31</v>
      </c>
      <c r="F53" s="2">
        <v>49</v>
      </c>
      <c r="G53" s="2" t="s">
        <v>78</v>
      </c>
      <c r="H53" s="3" t="s">
        <v>218</v>
      </c>
      <c r="I53" s="2"/>
      <c r="J53" s="2" t="s">
        <v>8</v>
      </c>
      <c r="K53" s="2">
        <v>136355</v>
      </c>
      <c r="L53" s="2">
        <v>3</v>
      </c>
      <c r="M53" s="2">
        <v>5</v>
      </c>
      <c r="N53" s="2" t="s">
        <v>8</v>
      </c>
      <c r="O53" s="2">
        <v>1</v>
      </c>
      <c r="P53" s="2">
        <f ca="1">ROUND((IF(I53="",TODAY(),I53)-H53)/365,1)</f>
        <v>4.2</v>
      </c>
      <c r="Q53" s="2" t="str">
        <f t="shared" si="0"/>
        <v>Low</v>
      </c>
    </row>
    <row r="54" spans="1:17" x14ac:dyDescent="0.35">
      <c r="A54" s="2" t="s">
        <v>219</v>
      </c>
      <c r="B54" s="2" t="s">
        <v>220</v>
      </c>
      <c r="C54" s="2" t="s">
        <v>5</v>
      </c>
      <c r="D54" s="2" t="s">
        <v>207</v>
      </c>
      <c r="E54" s="2" t="s">
        <v>46</v>
      </c>
      <c r="F54" s="2">
        <v>49</v>
      </c>
      <c r="G54" s="2" t="s">
        <v>78</v>
      </c>
      <c r="H54" s="3" t="s">
        <v>221</v>
      </c>
      <c r="I54" s="2"/>
      <c r="J54" s="2" t="s">
        <v>8</v>
      </c>
      <c r="K54" s="2">
        <v>126533</v>
      </c>
      <c r="L54" s="2">
        <v>5</v>
      </c>
      <c r="M54" s="2">
        <v>3</v>
      </c>
      <c r="N54" s="2" t="s">
        <v>8</v>
      </c>
      <c r="O54" s="2">
        <v>35</v>
      </c>
      <c r="P54" s="2">
        <f ca="1">ROUND((IF(I54="",TODAY(),I54)-H54)/365,1)</f>
        <v>9.6</v>
      </c>
      <c r="Q54" s="2" t="str">
        <f t="shared" si="0"/>
        <v>Low</v>
      </c>
    </row>
    <row r="55" spans="1:17" x14ac:dyDescent="0.35">
      <c r="A55" s="2" t="s">
        <v>222</v>
      </c>
      <c r="B55" s="2" t="s">
        <v>223</v>
      </c>
      <c r="C55" s="2" t="s">
        <v>12</v>
      </c>
      <c r="D55" s="2" t="s">
        <v>55</v>
      </c>
      <c r="E55" s="2" t="s">
        <v>46</v>
      </c>
      <c r="F55" s="2">
        <v>27</v>
      </c>
      <c r="G55" s="2" t="s">
        <v>56</v>
      </c>
      <c r="H55" s="3" t="s">
        <v>224</v>
      </c>
      <c r="I55" s="2"/>
      <c r="J55" s="2" t="s">
        <v>8</v>
      </c>
      <c r="K55" s="2">
        <v>104997</v>
      </c>
      <c r="L55" s="2">
        <v>4</v>
      </c>
      <c r="M55" s="2">
        <v>2</v>
      </c>
      <c r="N55" s="2" t="s">
        <v>8</v>
      </c>
      <c r="O55" s="2">
        <v>37</v>
      </c>
      <c r="P55" s="2">
        <f ca="1">ROUND((IF(I55="",TODAY(),I55)-H55)/365,1)</f>
        <v>8.5</v>
      </c>
      <c r="Q55" s="2" t="str">
        <f t="shared" si="0"/>
        <v>Medium</v>
      </c>
    </row>
    <row r="56" spans="1:17" x14ac:dyDescent="0.35">
      <c r="A56" s="2" t="s">
        <v>225</v>
      </c>
      <c r="B56" s="2" t="s">
        <v>226</v>
      </c>
      <c r="C56" s="2" t="s">
        <v>5</v>
      </c>
      <c r="D56" s="2" t="s">
        <v>207</v>
      </c>
      <c r="E56" s="2" t="s">
        <v>46</v>
      </c>
      <c r="F56" s="2">
        <v>35</v>
      </c>
      <c r="G56" s="2" t="s">
        <v>78</v>
      </c>
      <c r="H56" s="3" t="s">
        <v>227</v>
      </c>
      <c r="I56" s="2"/>
      <c r="J56" s="2" t="s">
        <v>8</v>
      </c>
      <c r="K56" s="2">
        <v>116905</v>
      </c>
      <c r="L56" s="2">
        <v>3</v>
      </c>
      <c r="M56" s="2">
        <v>3</v>
      </c>
      <c r="N56" s="2" t="s">
        <v>8</v>
      </c>
      <c r="O56" s="2">
        <v>39</v>
      </c>
      <c r="P56" s="2">
        <f ca="1">ROUND((IF(I56="",TODAY(),I56)-H56)/365,1)</f>
        <v>7.6</v>
      </c>
      <c r="Q56" s="2" t="str">
        <f t="shared" si="0"/>
        <v>Low</v>
      </c>
    </row>
    <row r="57" spans="1:17" x14ac:dyDescent="0.35">
      <c r="A57" s="2" t="s">
        <v>228</v>
      </c>
      <c r="B57" s="2" t="s">
        <v>229</v>
      </c>
      <c r="C57" s="2" t="s">
        <v>11</v>
      </c>
      <c r="D57" s="2" t="s">
        <v>45</v>
      </c>
      <c r="E57" s="2" t="s">
        <v>31</v>
      </c>
      <c r="F57" s="2">
        <v>53</v>
      </c>
      <c r="G57" s="2" t="s">
        <v>32</v>
      </c>
      <c r="H57" s="3" t="s">
        <v>230</v>
      </c>
      <c r="I57" s="3" t="s">
        <v>231</v>
      </c>
      <c r="J57" s="2" t="s">
        <v>6</v>
      </c>
      <c r="K57" s="2">
        <v>128931</v>
      </c>
      <c r="L57" s="2">
        <v>4</v>
      </c>
      <c r="M57" s="2">
        <v>4</v>
      </c>
      <c r="N57" s="2" t="s">
        <v>8</v>
      </c>
      <c r="O57" s="2">
        <v>29</v>
      </c>
      <c r="P57" s="2">
        <f ca="1">ROUND((IF(I57="",TODAY(),I57)-H57)/365,1)</f>
        <v>1.4</v>
      </c>
      <c r="Q57" s="2" t="str">
        <f t="shared" si="0"/>
        <v>N/A</v>
      </c>
    </row>
    <row r="58" spans="1:17" x14ac:dyDescent="0.35">
      <c r="A58" s="2" t="s">
        <v>232</v>
      </c>
      <c r="B58" s="2" t="s">
        <v>233</v>
      </c>
      <c r="C58" s="2" t="s">
        <v>10</v>
      </c>
      <c r="D58" s="2" t="s">
        <v>70</v>
      </c>
      <c r="E58" s="2" t="s">
        <v>31</v>
      </c>
      <c r="F58" s="2">
        <v>45</v>
      </c>
      <c r="G58" s="2" t="s">
        <v>78</v>
      </c>
      <c r="H58" s="3" t="s">
        <v>234</v>
      </c>
      <c r="I58" s="2"/>
      <c r="J58" s="2" t="s">
        <v>8</v>
      </c>
      <c r="K58" s="2">
        <v>68357</v>
      </c>
      <c r="L58" s="2">
        <v>4</v>
      </c>
      <c r="M58" s="2">
        <v>3</v>
      </c>
      <c r="N58" s="2" t="s">
        <v>8</v>
      </c>
      <c r="O58" s="2">
        <v>36</v>
      </c>
      <c r="P58" s="2">
        <f ca="1">ROUND((IF(I58="",TODAY(),I58)-H58)/365,1)</f>
        <v>6.3</v>
      </c>
      <c r="Q58" s="2" t="str">
        <f t="shared" si="0"/>
        <v>Low</v>
      </c>
    </row>
    <row r="59" spans="1:17" x14ac:dyDescent="0.35">
      <c r="A59" s="2" t="s">
        <v>235</v>
      </c>
      <c r="B59" s="2" t="s">
        <v>236</v>
      </c>
      <c r="C59" s="2" t="s">
        <v>9</v>
      </c>
      <c r="D59" s="2" t="s">
        <v>41</v>
      </c>
      <c r="E59" s="2" t="s">
        <v>46</v>
      </c>
      <c r="F59" s="2">
        <v>34</v>
      </c>
      <c r="G59" s="2" t="s">
        <v>56</v>
      </c>
      <c r="H59" s="3" t="s">
        <v>237</v>
      </c>
      <c r="I59" s="2"/>
      <c r="J59" s="2" t="s">
        <v>8</v>
      </c>
      <c r="K59" s="2">
        <v>53361</v>
      </c>
      <c r="L59" s="2">
        <v>2</v>
      </c>
      <c r="M59" s="2">
        <v>5</v>
      </c>
      <c r="N59" s="2" t="s">
        <v>6</v>
      </c>
      <c r="O59" s="2">
        <v>13</v>
      </c>
      <c r="P59" s="2">
        <f ca="1">ROUND((IF(I59="",TODAY(),I59)-H59)/365,1)</f>
        <v>8.1</v>
      </c>
      <c r="Q59" s="2" t="str">
        <f t="shared" si="0"/>
        <v>Medium</v>
      </c>
    </row>
    <row r="60" spans="1:17" x14ac:dyDescent="0.35">
      <c r="A60" s="2" t="s">
        <v>238</v>
      </c>
      <c r="B60" s="2" t="s">
        <v>239</v>
      </c>
      <c r="C60" s="2" t="s">
        <v>12</v>
      </c>
      <c r="D60" s="2" t="s">
        <v>55</v>
      </c>
      <c r="E60" s="2" t="s">
        <v>46</v>
      </c>
      <c r="F60" s="2">
        <v>40</v>
      </c>
      <c r="G60" s="2" t="s">
        <v>78</v>
      </c>
      <c r="H60" s="3" t="s">
        <v>240</v>
      </c>
      <c r="I60" s="3" t="s">
        <v>241</v>
      </c>
      <c r="J60" s="2" t="s">
        <v>6</v>
      </c>
      <c r="K60" s="2">
        <v>41591</v>
      </c>
      <c r="L60" s="2">
        <v>1</v>
      </c>
      <c r="M60" s="2">
        <v>3</v>
      </c>
      <c r="N60" s="2" t="s">
        <v>8</v>
      </c>
      <c r="O60" s="2">
        <v>35</v>
      </c>
      <c r="P60" s="2">
        <f ca="1">ROUND((IF(I60="",TODAY(),I60)-H60)/365,1)</f>
        <v>0.8</v>
      </c>
      <c r="Q60" s="2" t="str">
        <f t="shared" si="0"/>
        <v>N/A</v>
      </c>
    </row>
    <row r="61" spans="1:17" x14ac:dyDescent="0.35">
      <c r="A61" s="2" t="s">
        <v>242</v>
      </c>
      <c r="B61" s="2" t="s">
        <v>243</v>
      </c>
      <c r="C61" s="2" t="s">
        <v>11</v>
      </c>
      <c r="D61" s="2" t="s">
        <v>66</v>
      </c>
      <c r="E61" s="2" t="s">
        <v>31</v>
      </c>
      <c r="F61" s="2">
        <v>22</v>
      </c>
      <c r="G61" s="2" t="s">
        <v>32</v>
      </c>
      <c r="H61" s="3" t="s">
        <v>244</v>
      </c>
      <c r="I61" s="3" t="s">
        <v>245</v>
      </c>
      <c r="J61" s="2" t="s">
        <v>6</v>
      </c>
      <c r="K61" s="2">
        <v>49164</v>
      </c>
      <c r="L61" s="2">
        <v>4</v>
      </c>
      <c r="M61" s="2">
        <v>4</v>
      </c>
      <c r="N61" s="2" t="s">
        <v>6</v>
      </c>
      <c r="O61" s="2">
        <v>22</v>
      </c>
      <c r="P61" s="2">
        <f ca="1">ROUND((IF(I61="",TODAY(),I61)-H61)/365,1)</f>
        <v>5</v>
      </c>
      <c r="Q61" s="2" t="str">
        <f t="shared" si="0"/>
        <v>N/A</v>
      </c>
    </row>
    <row r="62" spans="1:17" x14ac:dyDescent="0.35">
      <c r="A62" s="2" t="s">
        <v>246</v>
      </c>
      <c r="B62" s="2" t="s">
        <v>247</v>
      </c>
      <c r="C62" s="2" t="s">
        <v>10</v>
      </c>
      <c r="D62" s="2" t="s">
        <v>111</v>
      </c>
      <c r="E62" s="2" t="s">
        <v>31</v>
      </c>
      <c r="F62" s="2">
        <v>26</v>
      </c>
      <c r="G62" s="2" t="s">
        <v>56</v>
      </c>
      <c r="H62" s="3" t="s">
        <v>248</v>
      </c>
      <c r="I62" s="2"/>
      <c r="J62" s="2" t="s">
        <v>8</v>
      </c>
      <c r="K62" s="2">
        <v>131318</v>
      </c>
      <c r="L62" s="2">
        <v>2</v>
      </c>
      <c r="M62" s="2">
        <v>1</v>
      </c>
      <c r="N62" s="2" t="s">
        <v>8</v>
      </c>
      <c r="O62" s="2">
        <v>10</v>
      </c>
      <c r="P62" s="2">
        <f ca="1">ROUND((IF(I62="",TODAY(),I62)-H62)/365,1)</f>
        <v>5.0999999999999996</v>
      </c>
      <c r="Q62" s="2" t="str">
        <f t="shared" si="0"/>
        <v>Medium</v>
      </c>
    </row>
    <row r="63" spans="1:17" x14ac:dyDescent="0.35">
      <c r="A63" s="2" t="s">
        <v>249</v>
      </c>
      <c r="B63" s="2" t="s">
        <v>250</v>
      </c>
      <c r="C63" s="2" t="s">
        <v>5</v>
      </c>
      <c r="D63" s="2" t="s">
        <v>94</v>
      </c>
      <c r="E63" s="2" t="s">
        <v>31</v>
      </c>
      <c r="F63" s="2">
        <v>36</v>
      </c>
      <c r="G63" s="2" t="s">
        <v>56</v>
      </c>
      <c r="H63" s="3" t="s">
        <v>251</v>
      </c>
      <c r="I63" s="2"/>
      <c r="J63" s="2" t="s">
        <v>8</v>
      </c>
      <c r="K63" s="2">
        <v>137743</v>
      </c>
      <c r="L63" s="2">
        <v>4</v>
      </c>
      <c r="M63" s="2">
        <v>4</v>
      </c>
      <c r="N63" s="2" t="s">
        <v>8</v>
      </c>
      <c r="O63" s="2">
        <v>20</v>
      </c>
      <c r="P63" s="2">
        <f ca="1">ROUND((IF(I63="",TODAY(),I63)-H63)/365,1)</f>
        <v>2.9</v>
      </c>
      <c r="Q63" s="2" t="str">
        <f t="shared" si="0"/>
        <v>Low</v>
      </c>
    </row>
    <row r="64" spans="1:17" x14ac:dyDescent="0.35">
      <c r="A64" s="2" t="s">
        <v>252</v>
      </c>
      <c r="B64" s="2" t="s">
        <v>253</v>
      </c>
      <c r="C64" s="2" t="s">
        <v>9</v>
      </c>
      <c r="D64" s="2" t="s">
        <v>77</v>
      </c>
      <c r="E64" s="2" t="s">
        <v>31</v>
      </c>
      <c r="F64" s="2">
        <v>35</v>
      </c>
      <c r="G64" s="2" t="s">
        <v>56</v>
      </c>
      <c r="H64" s="3" t="s">
        <v>254</v>
      </c>
      <c r="I64" s="3" t="s">
        <v>255</v>
      </c>
      <c r="J64" s="2" t="s">
        <v>6</v>
      </c>
      <c r="K64" s="2">
        <v>47782</v>
      </c>
      <c r="L64" s="2">
        <v>2</v>
      </c>
      <c r="M64" s="2">
        <v>1</v>
      </c>
      <c r="N64" s="2" t="s">
        <v>6</v>
      </c>
      <c r="O64" s="2">
        <v>16</v>
      </c>
      <c r="P64" s="2">
        <f ca="1">ROUND((IF(I64="",TODAY(),I64)-H64)/365,1)</f>
        <v>0.2</v>
      </c>
      <c r="Q64" s="2" t="str">
        <f t="shared" si="0"/>
        <v>N/A</v>
      </c>
    </row>
    <row r="65" spans="1:17" x14ac:dyDescent="0.35">
      <c r="A65" s="2" t="s">
        <v>256</v>
      </c>
      <c r="B65" s="2" t="s">
        <v>257</v>
      </c>
      <c r="C65" s="2" t="s">
        <v>10</v>
      </c>
      <c r="D65" s="2" t="s">
        <v>258</v>
      </c>
      <c r="E65" s="2" t="s">
        <v>46</v>
      </c>
      <c r="F65" s="2">
        <v>36</v>
      </c>
      <c r="G65" s="2" t="s">
        <v>78</v>
      </c>
      <c r="H65" s="3" t="s">
        <v>259</v>
      </c>
      <c r="I65" s="2"/>
      <c r="J65" s="2" t="s">
        <v>8</v>
      </c>
      <c r="K65" s="2">
        <v>55595</v>
      </c>
      <c r="L65" s="2">
        <v>1</v>
      </c>
      <c r="M65" s="2">
        <v>4</v>
      </c>
      <c r="N65" s="2" t="s">
        <v>8</v>
      </c>
      <c r="O65" s="2">
        <v>44</v>
      </c>
      <c r="P65" s="2">
        <f ca="1">ROUND((IF(I65="",TODAY(),I65)-H65)/365,1)</f>
        <v>8.4</v>
      </c>
      <c r="Q65" s="2" t="str">
        <f t="shared" si="0"/>
        <v>Low</v>
      </c>
    </row>
    <row r="66" spans="1:17" x14ac:dyDescent="0.35">
      <c r="A66" s="2" t="s">
        <v>260</v>
      </c>
      <c r="B66" s="2" t="s">
        <v>261</v>
      </c>
      <c r="C66" s="2" t="s">
        <v>12</v>
      </c>
      <c r="D66" s="2" t="s">
        <v>55</v>
      </c>
      <c r="E66" s="2" t="s">
        <v>31</v>
      </c>
      <c r="F66" s="2">
        <v>56</v>
      </c>
      <c r="G66" s="2" t="s">
        <v>32</v>
      </c>
      <c r="H66" s="3" t="s">
        <v>262</v>
      </c>
      <c r="I66" s="2"/>
      <c r="J66" s="2" t="s">
        <v>8</v>
      </c>
      <c r="K66" s="2">
        <v>32816</v>
      </c>
      <c r="L66" s="2">
        <v>2</v>
      </c>
      <c r="M66" s="2">
        <v>3</v>
      </c>
      <c r="N66" s="2" t="s">
        <v>8</v>
      </c>
      <c r="O66" s="2">
        <v>5</v>
      </c>
      <c r="P66" s="2">
        <f ca="1">ROUND((IF(I66="",TODAY(),I66)-H66)/365,1)</f>
        <v>9.1</v>
      </c>
      <c r="Q66" s="2" t="str">
        <f t="shared" ref="Q66:Q129" si="1">IF(J66="No",IF(AND(M66&lt;=2,N66="Yes"),"High",IF(OR(M66&lt;=2,N66="Yes"),"Medium","Low")),"N/A")</f>
        <v>Low</v>
      </c>
    </row>
    <row r="67" spans="1:17" x14ac:dyDescent="0.35">
      <c r="A67" s="2" t="s">
        <v>263</v>
      </c>
      <c r="B67" s="2" t="s">
        <v>264</v>
      </c>
      <c r="C67" s="2" t="s">
        <v>11</v>
      </c>
      <c r="D67" s="2" t="s">
        <v>98</v>
      </c>
      <c r="E67" s="2" t="s">
        <v>46</v>
      </c>
      <c r="F67" s="2">
        <v>51</v>
      </c>
      <c r="G67" s="2" t="s">
        <v>78</v>
      </c>
      <c r="H67" s="3" t="s">
        <v>265</v>
      </c>
      <c r="I67" s="2"/>
      <c r="J67" s="2" t="s">
        <v>8</v>
      </c>
      <c r="K67" s="2">
        <v>95776</v>
      </c>
      <c r="L67" s="2">
        <v>3</v>
      </c>
      <c r="M67" s="2">
        <v>4</v>
      </c>
      <c r="N67" s="2" t="s">
        <v>6</v>
      </c>
      <c r="O67" s="2">
        <v>33</v>
      </c>
      <c r="P67" s="2">
        <f ca="1">ROUND((IF(I67="",TODAY(),I67)-H67)/365,1)</f>
        <v>3.9</v>
      </c>
      <c r="Q67" s="2" t="str">
        <f t="shared" si="1"/>
        <v>Medium</v>
      </c>
    </row>
    <row r="68" spans="1:17" x14ac:dyDescent="0.35">
      <c r="A68" s="2" t="s">
        <v>266</v>
      </c>
      <c r="B68" s="2" t="s">
        <v>267</v>
      </c>
      <c r="C68" s="2" t="s">
        <v>11</v>
      </c>
      <c r="D68" s="2" t="s">
        <v>45</v>
      </c>
      <c r="E68" s="2" t="s">
        <v>46</v>
      </c>
      <c r="F68" s="2">
        <v>38</v>
      </c>
      <c r="G68" s="2" t="s">
        <v>56</v>
      </c>
      <c r="H68" s="3" t="s">
        <v>268</v>
      </c>
      <c r="I68" s="2"/>
      <c r="J68" s="2" t="s">
        <v>8</v>
      </c>
      <c r="K68" s="2">
        <v>125238</v>
      </c>
      <c r="L68" s="2">
        <v>5</v>
      </c>
      <c r="M68" s="2">
        <v>5</v>
      </c>
      <c r="N68" s="2" t="s">
        <v>6</v>
      </c>
      <c r="O68" s="2">
        <v>2</v>
      </c>
      <c r="P68" s="2">
        <f ca="1">ROUND((IF(I68="",TODAY(),I68)-H68)/365,1)</f>
        <v>11.3</v>
      </c>
      <c r="Q68" s="2" t="str">
        <f t="shared" si="1"/>
        <v>Medium</v>
      </c>
    </row>
    <row r="69" spans="1:17" x14ac:dyDescent="0.35">
      <c r="A69" s="2" t="s">
        <v>269</v>
      </c>
      <c r="B69" s="2" t="s">
        <v>270</v>
      </c>
      <c r="C69" s="2" t="s">
        <v>11</v>
      </c>
      <c r="D69" s="2" t="s">
        <v>45</v>
      </c>
      <c r="E69" s="2" t="s">
        <v>31</v>
      </c>
      <c r="F69" s="2">
        <v>50</v>
      </c>
      <c r="G69" s="2" t="s">
        <v>78</v>
      </c>
      <c r="H69" s="3" t="s">
        <v>271</v>
      </c>
      <c r="I69" s="2"/>
      <c r="J69" s="2" t="s">
        <v>8</v>
      </c>
      <c r="K69" s="2">
        <v>131724</v>
      </c>
      <c r="L69" s="2">
        <v>4</v>
      </c>
      <c r="M69" s="2">
        <v>5</v>
      </c>
      <c r="N69" s="2" t="s">
        <v>6</v>
      </c>
      <c r="O69" s="2">
        <v>41</v>
      </c>
      <c r="P69" s="2">
        <f ca="1">ROUND((IF(I69="",TODAY(),I69)-H69)/365,1)</f>
        <v>1.3</v>
      </c>
      <c r="Q69" s="2" t="str">
        <f t="shared" si="1"/>
        <v>Medium</v>
      </c>
    </row>
    <row r="70" spans="1:17" x14ac:dyDescent="0.35">
      <c r="A70" s="2" t="s">
        <v>272</v>
      </c>
      <c r="B70" s="2" t="s">
        <v>273</v>
      </c>
      <c r="C70" s="2" t="s">
        <v>10</v>
      </c>
      <c r="D70" s="2" t="s">
        <v>258</v>
      </c>
      <c r="E70" s="2" t="s">
        <v>46</v>
      </c>
      <c r="F70" s="2">
        <v>28</v>
      </c>
      <c r="G70" s="2" t="s">
        <v>78</v>
      </c>
      <c r="H70" s="3" t="s">
        <v>274</v>
      </c>
      <c r="I70" s="2"/>
      <c r="J70" s="2" t="s">
        <v>8</v>
      </c>
      <c r="K70" s="2">
        <v>111846</v>
      </c>
      <c r="L70" s="2">
        <v>4</v>
      </c>
      <c r="M70" s="2">
        <v>4</v>
      </c>
      <c r="N70" s="2" t="s">
        <v>6</v>
      </c>
      <c r="O70" s="2">
        <v>19</v>
      </c>
      <c r="P70" s="2">
        <f ca="1">ROUND((IF(I70="",TODAY(),I70)-H70)/365,1)</f>
        <v>2</v>
      </c>
      <c r="Q70" s="2" t="str">
        <f t="shared" si="1"/>
        <v>Medium</v>
      </c>
    </row>
    <row r="71" spans="1:17" x14ac:dyDescent="0.35">
      <c r="A71" s="2" t="s">
        <v>275</v>
      </c>
      <c r="B71" s="2" t="s">
        <v>276</v>
      </c>
      <c r="C71" s="2" t="s">
        <v>11</v>
      </c>
      <c r="D71" s="2" t="s">
        <v>45</v>
      </c>
      <c r="E71" s="2" t="s">
        <v>46</v>
      </c>
      <c r="F71" s="2">
        <v>38</v>
      </c>
      <c r="G71" s="2" t="s">
        <v>56</v>
      </c>
      <c r="H71" s="3" t="s">
        <v>277</v>
      </c>
      <c r="I71" s="2"/>
      <c r="J71" s="2" t="s">
        <v>8</v>
      </c>
      <c r="K71" s="2">
        <v>111200</v>
      </c>
      <c r="L71" s="2">
        <v>5</v>
      </c>
      <c r="M71" s="2">
        <v>4</v>
      </c>
      <c r="N71" s="2" t="s">
        <v>6</v>
      </c>
      <c r="O71" s="2">
        <v>1</v>
      </c>
      <c r="P71" s="2">
        <f ca="1">ROUND((IF(I71="",TODAY(),I71)-H71)/365,1)</f>
        <v>8</v>
      </c>
      <c r="Q71" s="2" t="str">
        <f t="shared" si="1"/>
        <v>Medium</v>
      </c>
    </row>
    <row r="72" spans="1:17" x14ac:dyDescent="0.35">
      <c r="A72" s="2" t="s">
        <v>278</v>
      </c>
      <c r="B72" s="2" t="s">
        <v>279</v>
      </c>
      <c r="C72" s="2" t="s">
        <v>5</v>
      </c>
      <c r="D72" s="2" t="s">
        <v>94</v>
      </c>
      <c r="E72" s="2" t="s">
        <v>46</v>
      </c>
      <c r="F72" s="2">
        <v>50</v>
      </c>
      <c r="G72" s="2" t="s">
        <v>78</v>
      </c>
      <c r="H72" s="3" t="s">
        <v>280</v>
      </c>
      <c r="I72" s="2"/>
      <c r="J72" s="2" t="s">
        <v>8</v>
      </c>
      <c r="K72" s="2">
        <v>146591</v>
      </c>
      <c r="L72" s="2">
        <v>5</v>
      </c>
      <c r="M72" s="2">
        <v>3</v>
      </c>
      <c r="N72" s="2" t="s">
        <v>6</v>
      </c>
      <c r="O72" s="2">
        <v>9</v>
      </c>
      <c r="P72" s="2">
        <f ca="1">ROUND((IF(I72="",TODAY(),I72)-H72)/365,1)</f>
        <v>3.1</v>
      </c>
      <c r="Q72" s="2" t="str">
        <f t="shared" si="1"/>
        <v>Medium</v>
      </c>
    </row>
    <row r="73" spans="1:17" x14ac:dyDescent="0.35">
      <c r="A73" s="2" t="s">
        <v>281</v>
      </c>
      <c r="B73" s="2" t="s">
        <v>282</v>
      </c>
      <c r="C73" s="2" t="s">
        <v>12</v>
      </c>
      <c r="D73" s="2" t="s">
        <v>133</v>
      </c>
      <c r="E73" s="2" t="s">
        <v>31</v>
      </c>
      <c r="F73" s="2">
        <v>37</v>
      </c>
      <c r="G73" s="2" t="s">
        <v>32</v>
      </c>
      <c r="H73" s="3" t="s">
        <v>283</v>
      </c>
      <c r="I73" s="3" t="s">
        <v>284</v>
      </c>
      <c r="J73" s="2" t="s">
        <v>6</v>
      </c>
      <c r="K73" s="2">
        <v>78476</v>
      </c>
      <c r="L73" s="2">
        <v>1</v>
      </c>
      <c r="M73" s="2">
        <v>5</v>
      </c>
      <c r="N73" s="2" t="s">
        <v>6</v>
      </c>
      <c r="O73" s="2">
        <v>36</v>
      </c>
      <c r="P73" s="2">
        <f ca="1">ROUND((IF(I73="",TODAY(),I73)-H73)/365,1)</f>
        <v>0.8</v>
      </c>
      <c r="Q73" s="2" t="str">
        <f t="shared" si="1"/>
        <v>N/A</v>
      </c>
    </row>
    <row r="74" spans="1:17" x14ac:dyDescent="0.35">
      <c r="A74" s="2" t="s">
        <v>285</v>
      </c>
      <c r="B74" s="2" t="s">
        <v>286</v>
      </c>
      <c r="C74" s="2" t="s">
        <v>10</v>
      </c>
      <c r="D74" s="2" t="s">
        <v>111</v>
      </c>
      <c r="E74" s="2" t="s">
        <v>31</v>
      </c>
      <c r="F74" s="2">
        <v>54</v>
      </c>
      <c r="G74" s="2" t="s">
        <v>56</v>
      </c>
      <c r="H74" s="3" t="s">
        <v>287</v>
      </c>
      <c r="I74" s="3" t="s">
        <v>288</v>
      </c>
      <c r="J74" s="2" t="s">
        <v>6</v>
      </c>
      <c r="K74" s="2">
        <v>84871</v>
      </c>
      <c r="L74" s="2">
        <v>4</v>
      </c>
      <c r="M74" s="2">
        <v>4</v>
      </c>
      <c r="N74" s="2" t="s">
        <v>6</v>
      </c>
      <c r="O74" s="2">
        <v>16</v>
      </c>
      <c r="P74" s="2">
        <f ca="1">ROUND((IF(I74="",TODAY(),I74)-H74)/365,1)</f>
        <v>1.2</v>
      </c>
      <c r="Q74" s="2" t="str">
        <f t="shared" si="1"/>
        <v>N/A</v>
      </c>
    </row>
    <row r="75" spans="1:17" x14ac:dyDescent="0.35">
      <c r="A75" s="2" t="s">
        <v>289</v>
      </c>
      <c r="B75" s="2" t="s">
        <v>290</v>
      </c>
      <c r="C75" s="2" t="s">
        <v>11</v>
      </c>
      <c r="D75" s="2" t="s">
        <v>98</v>
      </c>
      <c r="E75" s="2" t="s">
        <v>31</v>
      </c>
      <c r="F75" s="2">
        <v>48</v>
      </c>
      <c r="G75" s="2" t="s">
        <v>56</v>
      </c>
      <c r="H75" s="3" t="s">
        <v>291</v>
      </c>
      <c r="I75" s="2"/>
      <c r="J75" s="2" t="s">
        <v>8</v>
      </c>
      <c r="K75" s="2">
        <v>62072</v>
      </c>
      <c r="L75" s="2">
        <v>3</v>
      </c>
      <c r="M75" s="2">
        <v>5</v>
      </c>
      <c r="N75" s="2" t="s">
        <v>8</v>
      </c>
      <c r="O75" s="2">
        <v>1</v>
      </c>
      <c r="P75" s="2">
        <f ca="1">ROUND((IF(I75="",TODAY(),I75)-H75)/365,1)</f>
        <v>7.8</v>
      </c>
      <c r="Q75" s="2" t="str">
        <f t="shared" si="1"/>
        <v>Low</v>
      </c>
    </row>
    <row r="76" spans="1:17" x14ac:dyDescent="0.35">
      <c r="A76" s="2" t="s">
        <v>292</v>
      </c>
      <c r="B76" s="2" t="s">
        <v>293</v>
      </c>
      <c r="C76" s="2" t="s">
        <v>11</v>
      </c>
      <c r="D76" s="2" t="s">
        <v>98</v>
      </c>
      <c r="E76" s="2" t="s">
        <v>46</v>
      </c>
      <c r="F76" s="2">
        <v>56</v>
      </c>
      <c r="G76" s="2" t="s">
        <v>78</v>
      </c>
      <c r="H76" s="3" t="s">
        <v>294</v>
      </c>
      <c r="I76" s="2"/>
      <c r="J76" s="2" t="s">
        <v>8</v>
      </c>
      <c r="K76" s="2">
        <v>84682</v>
      </c>
      <c r="L76" s="2">
        <v>5</v>
      </c>
      <c r="M76" s="2">
        <v>5</v>
      </c>
      <c r="N76" s="2" t="s">
        <v>6</v>
      </c>
      <c r="O76" s="2">
        <v>25</v>
      </c>
      <c r="P76" s="2">
        <f ca="1">ROUND((IF(I76="",TODAY(),I76)-H76)/365,1)</f>
        <v>6.2</v>
      </c>
      <c r="Q76" s="2" t="str">
        <f t="shared" si="1"/>
        <v>Medium</v>
      </c>
    </row>
    <row r="77" spans="1:17" x14ac:dyDescent="0.35">
      <c r="A77" s="2" t="s">
        <v>295</v>
      </c>
      <c r="B77" s="2" t="s">
        <v>296</v>
      </c>
      <c r="C77" s="2" t="s">
        <v>12</v>
      </c>
      <c r="D77" s="2" t="s">
        <v>30</v>
      </c>
      <c r="E77" s="2" t="s">
        <v>46</v>
      </c>
      <c r="F77" s="2">
        <v>24</v>
      </c>
      <c r="G77" s="2" t="s">
        <v>56</v>
      </c>
      <c r="H77" s="3" t="s">
        <v>297</v>
      </c>
      <c r="I77" s="2"/>
      <c r="J77" s="2" t="s">
        <v>8</v>
      </c>
      <c r="K77" s="2">
        <v>128860</v>
      </c>
      <c r="L77" s="2">
        <v>4</v>
      </c>
      <c r="M77" s="2">
        <v>4</v>
      </c>
      <c r="N77" s="2" t="s">
        <v>8</v>
      </c>
      <c r="O77" s="2">
        <v>43</v>
      </c>
      <c r="P77" s="2">
        <f ca="1">ROUND((IF(I77="",TODAY(),I77)-H77)/365,1)</f>
        <v>8</v>
      </c>
      <c r="Q77" s="2" t="str">
        <f t="shared" si="1"/>
        <v>Low</v>
      </c>
    </row>
    <row r="78" spans="1:17" x14ac:dyDescent="0.35">
      <c r="A78" s="2" t="s">
        <v>298</v>
      </c>
      <c r="B78" s="2" t="s">
        <v>299</v>
      </c>
      <c r="C78" s="2" t="s">
        <v>10</v>
      </c>
      <c r="D78" s="2" t="s">
        <v>111</v>
      </c>
      <c r="E78" s="2" t="s">
        <v>31</v>
      </c>
      <c r="F78" s="2">
        <v>43</v>
      </c>
      <c r="G78" s="2" t="s">
        <v>78</v>
      </c>
      <c r="H78" s="3" t="s">
        <v>300</v>
      </c>
      <c r="I78" s="3" t="s">
        <v>301</v>
      </c>
      <c r="J78" s="2" t="s">
        <v>6</v>
      </c>
      <c r="K78" s="2">
        <v>144333</v>
      </c>
      <c r="L78" s="2">
        <v>1</v>
      </c>
      <c r="M78" s="2">
        <v>4</v>
      </c>
      <c r="N78" s="2" t="s">
        <v>6</v>
      </c>
      <c r="O78" s="2">
        <v>34</v>
      </c>
      <c r="P78" s="2">
        <f ca="1">ROUND((IF(I78="",TODAY(),I78)-H78)/365,1)</f>
        <v>0.6</v>
      </c>
      <c r="Q78" s="2" t="str">
        <f t="shared" si="1"/>
        <v>N/A</v>
      </c>
    </row>
    <row r="79" spans="1:17" x14ac:dyDescent="0.35">
      <c r="A79" s="2" t="s">
        <v>302</v>
      </c>
      <c r="B79" s="2" t="s">
        <v>303</v>
      </c>
      <c r="C79" s="2" t="s">
        <v>10</v>
      </c>
      <c r="D79" s="2" t="s">
        <v>70</v>
      </c>
      <c r="E79" s="2" t="s">
        <v>31</v>
      </c>
      <c r="F79" s="2">
        <v>38</v>
      </c>
      <c r="G79" s="2" t="s">
        <v>56</v>
      </c>
      <c r="H79" s="3" t="s">
        <v>304</v>
      </c>
      <c r="I79" s="2"/>
      <c r="J79" s="2" t="s">
        <v>8</v>
      </c>
      <c r="K79" s="2">
        <v>136718</v>
      </c>
      <c r="L79" s="2">
        <v>1</v>
      </c>
      <c r="M79" s="2">
        <v>4</v>
      </c>
      <c r="N79" s="2" t="s">
        <v>8</v>
      </c>
      <c r="O79" s="2">
        <v>22</v>
      </c>
      <c r="P79" s="2">
        <f ca="1">ROUND((IF(I79="",TODAY(),I79)-H79)/365,1)</f>
        <v>7.8</v>
      </c>
      <c r="Q79" s="2" t="str">
        <f t="shared" si="1"/>
        <v>Low</v>
      </c>
    </row>
    <row r="80" spans="1:17" x14ac:dyDescent="0.35">
      <c r="A80" s="2" t="s">
        <v>305</v>
      </c>
      <c r="B80" s="2" t="s">
        <v>306</v>
      </c>
      <c r="C80" s="2" t="s">
        <v>10</v>
      </c>
      <c r="D80" s="2" t="s">
        <v>258</v>
      </c>
      <c r="E80" s="2" t="s">
        <v>46</v>
      </c>
      <c r="F80" s="2">
        <v>26</v>
      </c>
      <c r="G80" s="2" t="s">
        <v>32</v>
      </c>
      <c r="H80" s="3" t="s">
        <v>307</v>
      </c>
      <c r="I80" s="2"/>
      <c r="J80" s="2" t="s">
        <v>8</v>
      </c>
      <c r="K80" s="2">
        <v>81881</v>
      </c>
      <c r="L80" s="2">
        <v>2</v>
      </c>
      <c r="M80" s="2">
        <v>3</v>
      </c>
      <c r="N80" s="2" t="s">
        <v>8</v>
      </c>
      <c r="O80" s="2">
        <v>6</v>
      </c>
      <c r="P80" s="2">
        <f ca="1">ROUND((IF(I80="",TODAY(),I80)-H80)/365,1)</f>
        <v>9</v>
      </c>
      <c r="Q80" s="2" t="str">
        <f t="shared" si="1"/>
        <v>Low</v>
      </c>
    </row>
    <row r="81" spans="1:17" x14ac:dyDescent="0.35">
      <c r="A81" s="2" t="s">
        <v>308</v>
      </c>
      <c r="B81" s="2" t="s">
        <v>309</v>
      </c>
      <c r="C81" s="2" t="s">
        <v>12</v>
      </c>
      <c r="D81" s="2" t="s">
        <v>30</v>
      </c>
      <c r="E81" s="2" t="s">
        <v>46</v>
      </c>
      <c r="F81" s="2">
        <v>23</v>
      </c>
      <c r="G81" s="2" t="s">
        <v>78</v>
      </c>
      <c r="H81" s="3" t="s">
        <v>310</v>
      </c>
      <c r="I81" s="3" t="s">
        <v>311</v>
      </c>
      <c r="J81" s="2" t="s">
        <v>6</v>
      </c>
      <c r="K81" s="2">
        <v>74131</v>
      </c>
      <c r="L81" s="2">
        <v>3</v>
      </c>
      <c r="M81" s="2">
        <v>1</v>
      </c>
      <c r="N81" s="2" t="s">
        <v>6</v>
      </c>
      <c r="O81" s="2">
        <v>23</v>
      </c>
      <c r="P81" s="2">
        <f ca="1">ROUND((IF(I81="",TODAY(),I81)-H81)/365,1)</f>
        <v>6.1</v>
      </c>
      <c r="Q81" s="2" t="str">
        <f t="shared" si="1"/>
        <v>N/A</v>
      </c>
    </row>
    <row r="82" spans="1:17" x14ac:dyDescent="0.35">
      <c r="A82" s="2" t="s">
        <v>312</v>
      </c>
      <c r="B82" s="2" t="s">
        <v>313</v>
      </c>
      <c r="C82" s="2" t="s">
        <v>10</v>
      </c>
      <c r="D82" s="2" t="s">
        <v>70</v>
      </c>
      <c r="E82" s="2" t="s">
        <v>31</v>
      </c>
      <c r="F82" s="2">
        <v>27</v>
      </c>
      <c r="G82" s="2" t="s">
        <v>56</v>
      </c>
      <c r="H82" s="3" t="s">
        <v>314</v>
      </c>
      <c r="I82" s="3" t="s">
        <v>315</v>
      </c>
      <c r="J82" s="2" t="s">
        <v>6</v>
      </c>
      <c r="K82" s="2">
        <v>144646</v>
      </c>
      <c r="L82" s="2">
        <v>2</v>
      </c>
      <c r="M82" s="2">
        <v>5</v>
      </c>
      <c r="N82" s="2" t="s">
        <v>8</v>
      </c>
      <c r="O82" s="2">
        <v>32</v>
      </c>
      <c r="P82" s="2">
        <f ca="1">ROUND((IF(I82="",TODAY(),I82)-H82)/365,1)</f>
        <v>2.8</v>
      </c>
      <c r="Q82" s="2" t="str">
        <f t="shared" si="1"/>
        <v>N/A</v>
      </c>
    </row>
    <row r="83" spans="1:17" x14ac:dyDescent="0.35">
      <c r="A83" s="2" t="s">
        <v>316</v>
      </c>
      <c r="B83" s="2" t="s">
        <v>317</v>
      </c>
      <c r="C83" s="2" t="s">
        <v>12</v>
      </c>
      <c r="D83" s="2" t="s">
        <v>133</v>
      </c>
      <c r="E83" s="2" t="s">
        <v>46</v>
      </c>
      <c r="F83" s="2">
        <v>51</v>
      </c>
      <c r="G83" s="2" t="s">
        <v>78</v>
      </c>
      <c r="H83" s="3" t="s">
        <v>318</v>
      </c>
      <c r="I83" s="2"/>
      <c r="J83" s="2" t="s">
        <v>8</v>
      </c>
      <c r="K83" s="2">
        <v>82898</v>
      </c>
      <c r="L83" s="2">
        <v>2</v>
      </c>
      <c r="M83" s="2">
        <v>5</v>
      </c>
      <c r="N83" s="2" t="s">
        <v>6</v>
      </c>
      <c r="O83" s="2">
        <v>5</v>
      </c>
      <c r="P83" s="2">
        <f ca="1">ROUND((IF(I83="",TODAY(),I83)-H83)/365,1)</f>
        <v>1.5</v>
      </c>
      <c r="Q83" s="2" t="str">
        <f t="shared" si="1"/>
        <v>Medium</v>
      </c>
    </row>
    <row r="84" spans="1:17" x14ac:dyDescent="0.35">
      <c r="A84" s="2" t="s">
        <v>319</v>
      </c>
      <c r="B84" s="2" t="s">
        <v>320</v>
      </c>
      <c r="C84" s="2" t="s">
        <v>9</v>
      </c>
      <c r="D84" s="2" t="s">
        <v>77</v>
      </c>
      <c r="E84" s="2" t="s">
        <v>46</v>
      </c>
      <c r="F84" s="2">
        <v>41</v>
      </c>
      <c r="G84" s="2" t="s">
        <v>56</v>
      </c>
      <c r="H84" s="3" t="s">
        <v>321</v>
      </c>
      <c r="I84" s="2"/>
      <c r="J84" s="2" t="s">
        <v>8</v>
      </c>
      <c r="K84" s="2">
        <v>74986</v>
      </c>
      <c r="L84" s="2">
        <v>1</v>
      </c>
      <c r="M84" s="2">
        <v>4</v>
      </c>
      <c r="N84" s="2" t="s">
        <v>8</v>
      </c>
      <c r="O84" s="2">
        <v>16</v>
      </c>
      <c r="P84" s="2">
        <f ca="1">ROUND((IF(I84="",TODAY(),I84)-H84)/365,1)</f>
        <v>9.4</v>
      </c>
      <c r="Q84" s="2" t="str">
        <f t="shared" si="1"/>
        <v>Low</v>
      </c>
    </row>
    <row r="85" spans="1:17" x14ac:dyDescent="0.35">
      <c r="A85" s="2" t="s">
        <v>322</v>
      </c>
      <c r="B85" s="2" t="s">
        <v>323</v>
      </c>
      <c r="C85" s="2" t="s">
        <v>9</v>
      </c>
      <c r="D85" s="2" t="s">
        <v>77</v>
      </c>
      <c r="E85" s="2" t="s">
        <v>46</v>
      </c>
      <c r="F85" s="2">
        <v>39</v>
      </c>
      <c r="G85" s="2" t="s">
        <v>78</v>
      </c>
      <c r="H85" s="3" t="s">
        <v>324</v>
      </c>
      <c r="I85" s="2"/>
      <c r="J85" s="2" t="s">
        <v>8</v>
      </c>
      <c r="K85" s="2">
        <v>134161</v>
      </c>
      <c r="L85" s="2">
        <v>5</v>
      </c>
      <c r="M85" s="2">
        <v>1</v>
      </c>
      <c r="N85" s="2" t="s">
        <v>8</v>
      </c>
      <c r="O85" s="2">
        <v>32</v>
      </c>
      <c r="P85" s="2">
        <f ca="1">ROUND((IF(I85="",TODAY(),I85)-H85)/365,1)</f>
        <v>11.5</v>
      </c>
      <c r="Q85" s="2" t="str">
        <f t="shared" si="1"/>
        <v>Medium</v>
      </c>
    </row>
    <row r="86" spans="1:17" x14ac:dyDescent="0.35">
      <c r="A86" s="2" t="s">
        <v>325</v>
      </c>
      <c r="B86" s="2" t="s">
        <v>326</v>
      </c>
      <c r="C86" s="2" t="s">
        <v>7</v>
      </c>
      <c r="D86" s="2" t="s">
        <v>37</v>
      </c>
      <c r="E86" s="2" t="s">
        <v>46</v>
      </c>
      <c r="F86" s="2">
        <v>38</v>
      </c>
      <c r="G86" s="2" t="s">
        <v>32</v>
      </c>
      <c r="H86" s="3" t="s">
        <v>327</v>
      </c>
      <c r="I86" s="3" t="s">
        <v>328</v>
      </c>
      <c r="J86" s="2" t="s">
        <v>6</v>
      </c>
      <c r="K86" s="2">
        <v>109717</v>
      </c>
      <c r="L86" s="2">
        <v>1</v>
      </c>
      <c r="M86" s="2">
        <v>2</v>
      </c>
      <c r="N86" s="2" t="s">
        <v>8</v>
      </c>
      <c r="O86" s="2">
        <v>41</v>
      </c>
      <c r="P86" s="2">
        <f ca="1">ROUND((IF(I86="",TODAY(),I86)-H86)/365,1)</f>
        <v>2.6</v>
      </c>
      <c r="Q86" s="2" t="str">
        <f t="shared" si="1"/>
        <v>N/A</v>
      </c>
    </row>
    <row r="87" spans="1:17" x14ac:dyDescent="0.35">
      <c r="A87" s="2" t="s">
        <v>329</v>
      </c>
      <c r="B87" s="2" t="s">
        <v>330</v>
      </c>
      <c r="C87" s="2" t="s">
        <v>5</v>
      </c>
      <c r="D87" s="2" t="s">
        <v>102</v>
      </c>
      <c r="E87" s="2" t="s">
        <v>46</v>
      </c>
      <c r="F87" s="2">
        <v>40</v>
      </c>
      <c r="G87" s="2" t="s">
        <v>56</v>
      </c>
      <c r="H87" s="3" t="s">
        <v>331</v>
      </c>
      <c r="I87" s="2"/>
      <c r="J87" s="2" t="s">
        <v>8</v>
      </c>
      <c r="K87" s="2">
        <v>128089</v>
      </c>
      <c r="L87" s="2">
        <v>2</v>
      </c>
      <c r="M87" s="2">
        <v>2</v>
      </c>
      <c r="N87" s="2" t="s">
        <v>8</v>
      </c>
      <c r="O87" s="2">
        <v>9</v>
      </c>
      <c r="P87" s="2">
        <f ca="1">ROUND((IF(I87="",TODAY(),I87)-H87)/365,1)</f>
        <v>7.9</v>
      </c>
      <c r="Q87" s="2" t="str">
        <f t="shared" si="1"/>
        <v>Medium</v>
      </c>
    </row>
    <row r="88" spans="1:17" x14ac:dyDescent="0.35">
      <c r="A88" s="2" t="s">
        <v>332</v>
      </c>
      <c r="B88" s="2" t="s">
        <v>333</v>
      </c>
      <c r="C88" s="2" t="s">
        <v>9</v>
      </c>
      <c r="D88" s="2" t="s">
        <v>77</v>
      </c>
      <c r="E88" s="2" t="s">
        <v>46</v>
      </c>
      <c r="F88" s="2">
        <v>52</v>
      </c>
      <c r="G88" s="2" t="s">
        <v>32</v>
      </c>
      <c r="H88" s="3" t="s">
        <v>334</v>
      </c>
      <c r="I88" s="2"/>
      <c r="J88" s="2" t="s">
        <v>8</v>
      </c>
      <c r="K88" s="2">
        <v>34869</v>
      </c>
      <c r="L88" s="2">
        <v>1</v>
      </c>
      <c r="M88" s="2">
        <v>3</v>
      </c>
      <c r="N88" s="2" t="s">
        <v>6</v>
      </c>
      <c r="O88" s="2">
        <v>30</v>
      </c>
      <c r="P88" s="2">
        <f ca="1">ROUND((IF(I88="",TODAY(),I88)-H88)/365,1)</f>
        <v>2.6</v>
      </c>
      <c r="Q88" s="2" t="str">
        <f t="shared" si="1"/>
        <v>Medium</v>
      </c>
    </row>
    <row r="89" spans="1:17" x14ac:dyDescent="0.35">
      <c r="A89" s="2" t="s">
        <v>335</v>
      </c>
      <c r="B89" s="2" t="s">
        <v>336</v>
      </c>
      <c r="C89" s="2" t="s">
        <v>7</v>
      </c>
      <c r="D89" s="2" t="s">
        <v>37</v>
      </c>
      <c r="E89" s="2" t="s">
        <v>46</v>
      </c>
      <c r="F89" s="2">
        <v>27</v>
      </c>
      <c r="G89" s="2" t="s">
        <v>78</v>
      </c>
      <c r="H89" s="3" t="s">
        <v>337</v>
      </c>
      <c r="I89" s="2"/>
      <c r="J89" s="2" t="s">
        <v>8</v>
      </c>
      <c r="K89" s="2">
        <v>84609</v>
      </c>
      <c r="L89" s="2">
        <v>5</v>
      </c>
      <c r="M89" s="2">
        <v>3</v>
      </c>
      <c r="N89" s="2" t="s">
        <v>8</v>
      </c>
      <c r="O89" s="2">
        <v>8</v>
      </c>
      <c r="P89" s="2">
        <f ca="1">ROUND((IF(I89="",TODAY(),I89)-H89)/365,1)</f>
        <v>2.7</v>
      </c>
      <c r="Q89" s="2" t="str">
        <f t="shared" si="1"/>
        <v>Low</v>
      </c>
    </row>
    <row r="90" spans="1:17" x14ac:dyDescent="0.35">
      <c r="A90" s="2" t="s">
        <v>338</v>
      </c>
      <c r="B90" s="2" t="s">
        <v>339</v>
      </c>
      <c r="C90" s="2" t="s">
        <v>12</v>
      </c>
      <c r="D90" s="2" t="s">
        <v>133</v>
      </c>
      <c r="E90" s="2" t="s">
        <v>46</v>
      </c>
      <c r="F90" s="2">
        <v>36</v>
      </c>
      <c r="G90" s="2" t="s">
        <v>56</v>
      </c>
      <c r="H90" s="3" t="s">
        <v>340</v>
      </c>
      <c r="I90" s="3" t="s">
        <v>341</v>
      </c>
      <c r="J90" s="2" t="s">
        <v>6</v>
      </c>
      <c r="K90" s="2">
        <v>54015</v>
      </c>
      <c r="L90" s="2">
        <v>3</v>
      </c>
      <c r="M90" s="2">
        <v>5</v>
      </c>
      <c r="N90" s="2" t="s">
        <v>6</v>
      </c>
      <c r="O90" s="2">
        <v>40</v>
      </c>
      <c r="P90" s="2">
        <f ca="1">ROUND((IF(I90="",TODAY(),I90)-H90)/365,1)</f>
        <v>5.4</v>
      </c>
      <c r="Q90" s="2" t="str">
        <f t="shared" si="1"/>
        <v>N/A</v>
      </c>
    </row>
    <row r="91" spans="1:17" x14ac:dyDescent="0.35">
      <c r="A91" s="2" t="s">
        <v>342</v>
      </c>
      <c r="B91" s="2" t="s">
        <v>343</v>
      </c>
      <c r="C91" s="2" t="s">
        <v>12</v>
      </c>
      <c r="D91" s="2" t="s">
        <v>133</v>
      </c>
      <c r="E91" s="2" t="s">
        <v>46</v>
      </c>
      <c r="F91" s="2">
        <v>24</v>
      </c>
      <c r="G91" s="2" t="s">
        <v>56</v>
      </c>
      <c r="H91" s="3" t="s">
        <v>344</v>
      </c>
      <c r="I91" s="3" t="s">
        <v>345</v>
      </c>
      <c r="J91" s="2" t="s">
        <v>6</v>
      </c>
      <c r="K91" s="2">
        <v>55775</v>
      </c>
      <c r="L91" s="2">
        <v>1</v>
      </c>
      <c r="M91" s="2">
        <v>4</v>
      </c>
      <c r="N91" s="2" t="s">
        <v>6</v>
      </c>
      <c r="O91" s="2">
        <v>7</v>
      </c>
      <c r="P91" s="2">
        <f ca="1">ROUND((IF(I91="",TODAY(),I91)-H91)/365,1)</f>
        <v>5.3</v>
      </c>
      <c r="Q91" s="2" t="str">
        <f t="shared" si="1"/>
        <v>N/A</v>
      </c>
    </row>
    <row r="92" spans="1:17" x14ac:dyDescent="0.35">
      <c r="A92" s="2" t="s">
        <v>346</v>
      </c>
      <c r="B92" s="2" t="s">
        <v>347</v>
      </c>
      <c r="C92" s="2" t="s">
        <v>9</v>
      </c>
      <c r="D92" s="2" t="s">
        <v>77</v>
      </c>
      <c r="E92" s="2" t="s">
        <v>46</v>
      </c>
      <c r="F92" s="2">
        <v>48</v>
      </c>
      <c r="G92" s="2" t="s">
        <v>78</v>
      </c>
      <c r="H92" s="3" t="s">
        <v>348</v>
      </c>
      <c r="I92" s="3" t="s">
        <v>315</v>
      </c>
      <c r="J92" s="2" t="s">
        <v>6</v>
      </c>
      <c r="K92" s="2">
        <v>148083</v>
      </c>
      <c r="L92" s="2">
        <v>5</v>
      </c>
      <c r="M92" s="2">
        <v>4</v>
      </c>
      <c r="N92" s="2" t="s">
        <v>6</v>
      </c>
      <c r="O92" s="2">
        <v>27</v>
      </c>
      <c r="P92" s="2">
        <f ca="1">ROUND((IF(I92="",TODAY(),I92)-H92)/365,1)</f>
        <v>2.2000000000000002</v>
      </c>
      <c r="Q92" s="2" t="str">
        <f t="shared" si="1"/>
        <v>N/A</v>
      </c>
    </row>
    <row r="93" spans="1:17" x14ac:dyDescent="0.35">
      <c r="A93" s="2" t="s">
        <v>349</v>
      </c>
      <c r="B93" s="2" t="s">
        <v>350</v>
      </c>
      <c r="C93" s="2" t="s">
        <v>7</v>
      </c>
      <c r="D93" s="2" t="s">
        <v>125</v>
      </c>
      <c r="E93" s="2" t="s">
        <v>46</v>
      </c>
      <c r="F93" s="2">
        <v>28</v>
      </c>
      <c r="G93" s="2" t="s">
        <v>32</v>
      </c>
      <c r="H93" s="3" t="s">
        <v>351</v>
      </c>
      <c r="I93" s="2"/>
      <c r="J93" s="2" t="s">
        <v>8</v>
      </c>
      <c r="K93" s="2">
        <v>61160</v>
      </c>
      <c r="L93" s="2">
        <v>1</v>
      </c>
      <c r="M93" s="2">
        <v>3</v>
      </c>
      <c r="N93" s="2" t="s">
        <v>8</v>
      </c>
      <c r="O93" s="2">
        <v>26</v>
      </c>
      <c r="P93" s="2">
        <f ca="1">ROUND((IF(I93="",TODAY(),I93)-H93)/365,1)</f>
        <v>3.9</v>
      </c>
      <c r="Q93" s="2" t="str">
        <f t="shared" si="1"/>
        <v>Low</v>
      </c>
    </row>
    <row r="94" spans="1:17" x14ac:dyDescent="0.35">
      <c r="A94" s="2" t="s">
        <v>352</v>
      </c>
      <c r="B94" s="2" t="s">
        <v>353</v>
      </c>
      <c r="C94" s="2" t="s">
        <v>10</v>
      </c>
      <c r="D94" s="2" t="s">
        <v>111</v>
      </c>
      <c r="E94" s="2" t="s">
        <v>31</v>
      </c>
      <c r="F94" s="2">
        <v>25</v>
      </c>
      <c r="G94" s="2" t="s">
        <v>56</v>
      </c>
      <c r="H94" s="3" t="s">
        <v>354</v>
      </c>
      <c r="I94" s="3" t="s">
        <v>355</v>
      </c>
      <c r="J94" s="2" t="s">
        <v>6</v>
      </c>
      <c r="K94" s="2">
        <v>33992</v>
      </c>
      <c r="L94" s="2">
        <v>5</v>
      </c>
      <c r="M94" s="2">
        <v>2</v>
      </c>
      <c r="N94" s="2" t="s">
        <v>6</v>
      </c>
      <c r="O94" s="2">
        <v>14</v>
      </c>
      <c r="P94" s="2">
        <f ca="1">ROUND((IF(I94="",TODAY(),I94)-H94)/365,1)</f>
        <v>0.8</v>
      </c>
      <c r="Q94" s="2" t="str">
        <f t="shared" si="1"/>
        <v>N/A</v>
      </c>
    </row>
    <row r="95" spans="1:17" x14ac:dyDescent="0.35">
      <c r="A95" s="2" t="s">
        <v>356</v>
      </c>
      <c r="B95" s="2" t="s">
        <v>353</v>
      </c>
      <c r="C95" s="2" t="s">
        <v>7</v>
      </c>
      <c r="D95" s="2" t="s">
        <v>125</v>
      </c>
      <c r="E95" s="2" t="s">
        <v>31</v>
      </c>
      <c r="F95" s="2">
        <v>39</v>
      </c>
      <c r="G95" s="2" t="s">
        <v>32</v>
      </c>
      <c r="H95" s="3" t="s">
        <v>357</v>
      </c>
      <c r="I95" s="3" t="s">
        <v>358</v>
      </c>
      <c r="J95" s="2" t="s">
        <v>6</v>
      </c>
      <c r="K95" s="2">
        <v>129662</v>
      </c>
      <c r="L95" s="2">
        <v>5</v>
      </c>
      <c r="M95" s="2">
        <v>2</v>
      </c>
      <c r="N95" s="2" t="s">
        <v>8</v>
      </c>
      <c r="O95" s="2">
        <v>17</v>
      </c>
      <c r="P95" s="2">
        <f ca="1">ROUND((IF(I95="",TODAY(),I95)-H95)/365,1)</f>
        <v>0.2</v>
      </c>
      <c r="Q95" s="2" t="str">
        <f t="shared" si="1"/>
        <v>N/A</v>
      </c>
    </row>
    <row r="96" spans="1:17" x14ac:dyDescent="0.35">
      <c r="A96" s="2" t="s">
        <v>359</v>
      </c>
      <c r="B96" s="2" t="s">
        <v>360</v>
      </c>
      <c r="C96" s="2" t="s">
        <v>7</v>
      </c>
      <c r="D96" s="2" t="s">
        <v>155</v>
      </c>
      <c r="E96" s="2" t="s">
        <v>46</v>
      </c>
      <c r="F96" s="2">
        <v>42</v>
      </c>
      <c r="G96" s="2" t="s">
        <v>32</v>
      </c>
      <c r="H96" s="3" t="s">
        <v>361</v>
      </c>
      <c r="I96" s="2"/>
      <c r="J96" s="2" t="s">
        <v>8</v>
      </c>
      <c r="K96" s="2">
        <v>93955</v>
      </c>
      <c r="L96" s="2">
        <v>2</v>
      </c>
      <c r="M96" s="2">
        <v>1</v>
      </c>
      <c r="N96" s="2" t="s">
        <v>6</v>
      </c>
      <c r="O96" s="2">
        <v>27</v>
      </c>
      <c r="P96" s="2">
        <f ca="1">ROUND((IF(I96="",TODAY(),I96)-H96)/365,1)</f>
        <v>11.4</v>
      </c>
      <c r="Q96" s="2" t="str">
        <f t="shared" si="1"/>
        <v>High</v>
      </c>
    </row>
    <row r="97" spans="1:17" x14ac:dyDescent="0.35">
      <c r="A97" s="2" t="s">
        <v>362</v>
      </c>
      <c r="B97" s="2" t="s">
        <v>363</v>
      </c>
      <c r="C97" s="2" t="s">
        <v>10</v>
      </c>
      <c r="D97" s="2" t="s">
        <v>258</v>
      </c>
      <c r="E97" s="2" t="s">
        <v>46</v>
      </c>
      <c r="F97" s="2">
        <v>28</v>
      </c>
      <c r="G97" s="2" t="s">
        <v>78</v>
      </c>
      <c r="H97" s="3" t="s">
        <v>364</v>
      </c>
      <c r="I97" s="2"/>
      <c r="J97" s="2" t="s">
        <v>8</v>
      </c>
      <c r="K97" s="2">
        <v>93347</v>
      </c>
      <c r="L97" s="2">
        <v>1</v>
      </c>
      <c r="M97" s="2">
        <v>5</v>
      </c>
      <c r="N97" s="2" t="s">
        <v>8</v>
      </c>
      <c r="O97" s="2">
        <v>43</v>
      </c>
      <c r="P97" s="2">
        <f ca="1">ROUND((IF(I97="",TODAY(),I97)-H97)/365,1)</f>
        <v>6.5</v>
      </c>
      <c r="Q97" s="2" t="str">
        <f t="shared" si="1"/>
        <v>Low</v>
      </c>
    </row>
    <row r="98" spans="1:17" x14ac:dyDescent="0.35">
      <c r="A98" s="2" t="s">
        <v>365</v>
      </c>
      <c r="B98" s="2" t="s">
        <v>366</v>
      </c>
      <c r="C98" s="2" t="s">
        <v>5</v>
      </c>
      <c r="D98" s="2" t="s">
        <v>94</v>
      </c>
      <c r="E98" s="2" t="s">
        <v>46</v>
      </c>
      <c r="F98" s="2">
        <v>28</v>
      </c>
      <c r="G98" s="2" t="s">
        <v>56</v>
      </c>
      <c r="H98" s="3" t="s">
        <v>367</v>
      </c>
      <c r="I98" s="3" t="s">
        <v>368</v>
      </c>
      <c r="J98" s="2" t="s">
        <v>6</v>
      </c>
      <c r="K98" s="2">
        <v>67219</v>
      </c>
      <c r="L98" s="2">
        <v>1</v>
      </c>
      <c r="M98" s="2">
        <v>4</v>
      </c>
      <c r="N98" s="2" t="s">
        <v>8</v>
      </c>
      <c r="O98" s="2">
        <v>6</v>
      </c>
      <c r="P98" s="2">
        <f ca="1">ROUND((IF(I98="",TODAY(),I98)-H98)/365,1)</f>
        <v>1.6</v>
      </c>
      <c r="Q98" s="2" t="str">
        <f t="shared" si="1"/>
        <v>N/A</v>
      </c>
    </row>
    <row r="99" spans="1:17" x14ac:dyDescent="0.35">
      <c r="A99" s="2" t="s">
        <v>369</v>
      </c>
      <c r="B99" s="2" t="s">
        <v>370</v>
      </c>
      <c r="C99" s="2" t="s">
        <v>9</v>
      </c>
      <c r="D99" s="2" t="s">
        <v>77</v>
      </c>
      <c r="E99" s="2" t="s">
        <v>46</v>
      </c>
      <c r="F99" s="2">
        <v>55</v>
      </c>
      <c r="G99" s="2" t="s">
        <v>56</v>
      </c>
      <c r="H99" s="3" t="s">
        <v>371</v>
      </c>
      <c r="I99" s="3" t="s">
        <v>372</v>
      </c>
      <c r="J99" s="2" t="s">
        <v>6</v>
      </c>
      <c r="K99" s="2">
        <v>128952</v>
      </c>
      <c r="L99" s="2">
        <v>4</v>
      </c>
      <c r="M99" s="2">
        <v>5</v>
      </c>
      <c r="N99" s="2" t="s">
        <v>8</v>
      </c>
      <c r="O99" s="2">
        <v>7</v>
      </c>
      <c r="P99" s="2">
        <f ca="1">ROUND((IF(I99="",TODAY(),I99)-H99)/365,1)</f>
        <v>7.5</v>
      </c>
      <c r="Q99" s="2" t="str">
        <f t="shared" si="1"/>
        <v>N/A</v>
      </c>
    </row>
    <row r="100" spans="1:17" x14ac:dyDescent="0.35">
      <c r="A100" s="2" t="s">
        <v>373</v>
      </c>
      <c r="B100" s="2" t="s">
        <v>374</v>
      </c>
      <c r="C100" s="2" t="s">
        <v>12</v>
      </c>
      <c r="D100" s="2" t="s">
        <v>55</v>
      </c>
      <c r="E100" s="2" t="s">
        <v>31</v>
      </c>
      <c r="F100" s="2">
        <v>36</v>
      </c>
      <c r="G100" s="2" t="s">
        <v>32</v>
      </c>
      <c r="H100" s="3" t="s">
        <v>375</v>
      </c>
      <c r="I100" s="2"/>
      <c r="J100" s="2" t="s">
        <v>8</v>
      </c>
      <c r="K100" s="2">
        <v>120631</v>
      </c>
      <c r="L100" s="2">
        <v>4</v>
      </c>
      <c r="M100" s="2">
        <v>4</v>
      </c>
      <c r="N100" s="2" t="s">
        <v>6</v>
      </c>
      <c r="O100" s="2">
        <v>27</v>
      </c>
      <c r="P100" s="2">
        <f ca="1">ROUND((IF(I100="",TODAY(),I100)-H100)/365,1)</f>
        <v>7</v>
      </c>
      <c r="Q100" s="2" t="str">
        <f t="shared" si="1"/>
        <v>Medium</v>
      </c>
    </row>
    <row r="101" spans="1:17" x14ac:dyDescent="0.35">
      <c r="A101" s="2" t="s">
        <v>376</v>
      </c>
      <c r="B101" s="2" t="s">
        <v>377</v>
      </c>
      <c r="C101" s="2" t="s">
        <v>9</v>
      </c>
      <c r="D101" s="2" t="s">
        <v>77</v>
      </c>
      <c r="E101" s="2" t="s">
        <v>46</v>
      </c>
      <c r="F101" s="2">
        <v>52</v>
      </c>
      <c r="G101" s="2" t="s">
        <v>56</v>
      </c>
      <c r="H101" s="3" t="s">
        <v>378</v>
      </c>
      <c r="I101" s="2"/>
      <c r="J101" s="2" t="s">
        <v>8</v>
      </c>
      <c r="K101" s="2">
        <v>37656</v>
      </c>
      <c r="L101" s="2">
        <v>1</v>
      </c>
      <c r="M101" s="2">
        <v>1</v>
      </c>
      <c r="N101" s="2" t="s">
        <v>6</v>
      </c>
      <c r="O101" s="2">
        <v>28</v>
      </c>
      <c r="P101" s="2">
        <f ca="1">ROUND((IF(I101="",TODAY(),I101)-H101)/365,1)</f>
        <v>10.9</v>
      </c>
      <c r="Q101" s="2" t="str">
        <f t="shared" si="1"/>
        <v>High</v>
      </c>
    </row>
    <row r="102" spans="1:17" x14ac:dyDescent="0.35">
      <c r="A102" s="2" t="s">
        <v>379</v>
      </c>
      <c r="B102" s="2" t="s">
        <v>380</v>
      </c>
      <c r="C102" s="2" t="s">
        <v>7</v>
      </c>
      <c r="D102" s="2" t="s">
        <v>37</v>
      </c>
      <c r="E102" s="2" t="s">
        <v>31</v>
      </c>
      <c r="F102" s="2">
        <v>57</v>
      </c>
      <c r="G102" s="2" t="s">
        <v>78</v>
      </c>
      <c r="H102" s="3" t="s">
        <v>381</v>
      </c>
      <c r="I102" s="2"/>
      <c r="J102" s="2" t="s">
        <v>8</v>
      </c>
      <c r="K102" s="2">
        <v>148355</v>
      </c>
      <c r="L102" s="2">
        <v>3</v>
      </c>
      <c r="M102" s="2">
        <v>4</v>
      </c>
      <c r="N102" s="2" t="s">
        <v>8</v>
      </c>
      <c r="O102" s="2">
        <v>43</v>
      </c>
      <c r="P102" s="2">
        <f ca="1">ROUND((IF(I102="",TODAY(),I102)-H102)/365,1)</f>
        <v>7.9</v>
      </c>
      <c r="Q102" s="2" t="str">
        <f t="shared" si="1"/>
        <v>Low</v>
      </c>
    </row>
    <row r="103" spans="1:17" x14ac:dyDescent="0.35">
      <c r="A103" s="2" t="s">
        <v>382</v>
      </c>
      <c r="B103" s="2" t="s">
        <v>383</v>
      </c>
      <c r="C103" s="2" t="s">
        <v>12</v>
      </c>
      <c r="D103" s="2" t="s">
        <v>30</v>
      </c>
      <c r="E103" s="2" t="s">
        <v>46</v>
      </c>
      <c r="F103" s="2">
        <v>44</v>
      </c>
      <c r="G103" s="2" t="s">
        <v>32</v>
      </c>
      <c r="H103" s="3" t="s">
        <v>384</v>
      </c>
      <c r="I103" s="2"/>
      <c r="J103" s="2" t="s">
        <v>8</v>
      </c>
      <c r="K103" s="2">
        <v>88201</v>
      </c>
      <c r="L103" s="2">
        <v>2</v>
      </c>
      <c r="M103" s="2">
        <v>2</v>
      </c>
      <c r="N103" s="2" t="s">
        <v>8</v>
      </c>
      <c r="O103" s="2">
        <v>43</v>
      </c>
      <c r="P103" s="2">
        <f ca="1">ROUND((IF(I103="",TODAY(),I103)-H103)/365,1)</f>
        <v>10.4</v>
      </c>
      <c r="Q103" s="2" t="str">
        <f t="shared" si="1"/>
        <v>Medium</v>
      </c>
    </row>
    <row r="104" spans="1:17" x14ac:dyDescent="0.35">
      <c r="A104" s="2" t="s">
        <v>385</v>
      </c>
      <c r="B104" s="2" t="s">
        <v>386</v>
      </c>
      <c r="C104" s="2" t="s">
        <v>9</v>
      </c>
      <c r="D104" s="2" t="s">
        <v>77</v>
      </c>
      <c r="E104" s="2" t="s">
        <v>46</v>
      </c>
      <c r="F104" s="2">
        <v>58</v>
      </c>
      <c r="G104" s="2" t="s">
        <v>56</v>
      </c>
      <c r="H104" s="3" t="s">
        <v>387</v>
      </c>
      <c r="I104" s="2"/>
      <c r="J104" s="2" t="s">
        <v>8</v>
      </c>
      <c r="K104" s="2">
        <v>113470</v>
      </c>
      <c r="L104" s="2">
        <v>5</v>
      </c>
      <c r="M104" s="2">
        <v>5</v>
      </c>
      <c r="N104" s="2" t="s">
        <v>8</v>
      </c>
      <c r="O104" s="2">
        <v>40</v>
      </c>
      <c r="P104" s="2">
        <f ca="1">ROUND((IF(I104="",TODAY(),I104)-H104)/365,1)</f>
        <v>9.1</v>
      </c>
      <c r="Q104" s="2" t="str">
        <f t="shared" si="1"/>
        <v>Low</v>
      </c>
    </row>
    <row r="105" spans="1:17" x14ac:dyDescent="0.35">
      <c r="A105" s="2" t="s">
        <v>388</v>
      </c>
      <c r="B105" s="2" t="s">
        <v>389</v>
      </c>
      <c r="C105" s="2" t="s">
        <v>11</v>
      </c>
      <c r="D105" s="2" t="s">
        <v>98</v>
      </c>
      <c r="E105" s="2" t="s">
        <v>46</v>
      </c>
      <c r="F105" s="2">
        <v>39</v>
      </c>
      <c r="G105" s="2" t="s">
        <v>32</v>
      </c>
      <c r="H105" s="3" t="s">
        <v>390</v>
      </c>
      <c r="I105" s="2"/>
      <c r="J105" s="2" t="s">
        <v>8</v>
      </c>
      <c r="K105" s="2">
        <v>48777</v>
      </c>
      <c r="L105" s="2">
        <v>3</v>
      </c>
      <c r="M105" s="2">
        <v>3</v>
      </c>
      <c r="N105" s="2" t="s">
        <v>8</v>
      </c>
      <c r="O105" s="2">
        <v>1</v>
      </c>
      <c r="P105" s="2">
        <f ca="1">ROUND((IF(I105="",TODAY(),I105)-H105)/365,1)</f>
        <v>3.7</v>
      </c>
      <c r="Q105" s="2" t="str">
        <f t="shared" si="1"/>
        <v>Low</v>
      </c>
    </row>
    <row r="106" spans="1:17" x14ac:dyDescent="0.35">
      <c r="A106" s="2" t="s">
        <v>391</v>
      </c>
      <c r="B106" s="2" t="s">
        <v>392</v>
      </c>
      <c r="C106" s="2" t="s">
        <v>10</v>
      </c>
      <c r="D106" s="2" t="s">
        <v>111</v>
      </c>
      <c r="E106" s="2" t="s">
        <v>31</v>
      </c>
      <c r="F106" s="2">
        <v>55</v>
      </c>
      <c r="G106" s="2" t="s">
        <v>78</v>
      </c>
      <c r="H106" s="3" t="s">
        <v>393</v>
      </c>
      <c r="I106" s="2"/>
      <c r="J106" s="2" t="s">
        <v>8</v>
      </c>
      <c r="K106" s="2">
        <v>73503</v>
      </c>
      <c r="L106" s="2">
        <v>3</v>
      </c>
      <c r="M106" s="2">
        <v>4</v>
      </c>
      <c r="N106" s="2" t="s">
        <v>8</v>
      </c>
      <c r="O106" s="2">
        <v>11</v>
      </c>
      <c r="P106" s="2">
        <f ca="1">ROUND((IF(I106="",TODAY(),I106)-H106)/365,1)</f>
        <v>9.1999999999999993</v>
      </c>
      <c r="Q106" s="2" t="str">
        <f t="shared" si="1"/>
        <v>Low</v>
      </c>
    </row>
    <row r="107" spans="1:17" x14ac:dyDescent="0.35">
      <c r="A107" s="2" t="s">
        <v>394</v>
      </c>
      <c r="B107" s="2" t="s">
        <v>395</v>
      </c>
      <c r="C107" s="2" t="s">
        <v>11</v>
      </c>
      <c r="D107" s="2" t="s">
        <v>98</v>
      </c>
      <c r="E107" s="2" t="s">
        <v>31</v>
      </c>
      <c r="F107" s="2">
        <v>32</v>
      </c>
      <c r="G107" s="2" t="s">
        <v>78</v>
      </c>
      <c r="H107" s="3" t="s">
        <v>396</v>
      </c>
      <c r="I107" s="2"/>
      <c r="J107" s="2" t="s">
        <v>8</v>
      </c>
      <c r="K107" s="2">
        <v>111761</v>
      </c>
      <c r="L107" s="2">
        <v>3</v>
      </c>
      <c r="M107" s="2">
        <v>1</v>
      </c>
      <c r="N107" s="2" t="s">
        <v>8</v>
      </c>
      <c r="O107" s="2">
        <v>29</v>
      </c>
      <c r="P107" s="2">
        <f ca="1">ROUND((IF(I107="",TODAY(),I107)-H107)/365,1)</f>
        <v>3.1</v>
      </c>
      <c r="Q107" s="2" t="str">
        <f t="shared" si="1"/>
        <v>Medium</v>
      </c>
    </row>
    <row r="108" spans="1:17" x14ac:dyDescent="0.35">
      <c r="A108" s="2" t="s">
        <v>397</v>
      </c>
      <c r="B108" s="2" t="s">
        <v>398</v>
      </c>
      <c r="C108" s="2" t="s">
        <v>10</v>
      </c>
      <c r="D108" s="2" t="s">
        <v>258</v>
      </c>
      <c r="E108" s="2" t="s">
        <v>46</v>
      </c>
      <c r="F108" s="2">
        <v>29</v>
      </c>
      <c r="G108" s="2" t="s">
        <v>56</v>
      </c>
      <c r="H108" s="3" t="s">
        <v>399</v>
      </c>
      <c r="I108" s="2"/>
      <c r="J108" s="2" t="s">
        <v>8</v>
      </c>
      <c r="K108" s="2">
        <v>94066</v>
      </c>
      <c r="L108" s="2">
        <v>5</v>
      </c>
      <c r="M108" s="2">
        <v>3</v>
      </c>
      <c r="N108" s="2" t="s">
        <v>8</v>
      </c>
      <c r="O108" s="2">
        <v>32</v>
      </c>
      <c r="P108" s="2">
        <f ca="1">ROUND((IF(I108="",TODAY(),I108)-H108)/365,1)</f>
        <v>7.7</v>
      </c>
      <c r="Q108" s="2" t="str">
        <f t="shared" si="1"/>
        <v>Low</v>
      </c>
    </row>
    <row r="109" spans="1:17" x14ac:dyDescent="0.35">
      <c r="A109" s="2" t="s">
        <v>400</v>
      </c>
      <c r="B109" s="2" t="s">
        <v>401</v>
      </c>
      <c r="C109" s="2" t="s">
        <v>7</v>
      </c>
      <c r="D109" s="2" t="s">
        <v>125</v>
      </c>
      <c r="E109" s="2" t="s">
        <v>31</v>
      </c>
      <c r="F109" s="2">
        <v>41</v>
      </c>
      <c r="G109" s="2" t="s">
        <v>32</v>
      </c>
      <c r="H109" s="3" t="s">
        <v>402</v>
      </c>
      <c r="I109" s="2"/>
      <c r="J109" s="2" t="s">
        <v>8</v>
      </c>
      <c r="K109" s="2">
        <v>40726</v>
      </c>
      <c r="L109" s="2">
        <v>3</v>
      </c>
      <c r="M109" s="2">
        <v>3</v>
      </c>
      <c r="N109" s="2" t="s">
        <v>8</v>
      </c>
      <c r="O109" s="2">
        <v>21</v>
      </c>
      <c r="P109" s="2">
        <f ca="1">ROUND((IF(I109="",TODAY(),I109)-H109)/365,1)</f>
        <v>9.1999999999999993</v>
      </c>
      <c r="Q109" s="2" t="str">
        <f t="shared" si="1"/>
        <v>Low</v>
      </c>
    </row>
    <row r="110" spans="1:17" x14ac:dyDescent="0.35">
      <c r="A110" s="2" t="s">
        <v>403</v>
      </c>
      <c r="B110" s="2" t="s">
        <v>404</v>
      </c>
      <c r="C110" s="2" t="s">
        <v>10</v>
      </c>
      <c r="D110" s="2" t="s">
        <v>111</v>
      </c>
      <c r="E110" s="2" t="s">
        <v>31</v>
      </c>
      <c r="F110" s="2">
        <v>36</v>
      </c>
      <c r="G110" s="2" t="s">
        <v>56</v>
      </c>
      <c r="H110" s="3" t="s">
        <v>405</v>
      </c>
      <c r="I110" s="3" t="s">
        <v>406</v>
      </c>
      <c r="J110" s="2" t="s">
        <v>6</v>
      </c>
      <c r="K110" s="2">
        <v>137953</v>
      </c>
      <c r="L110" s="2">
        <v>1</v>
      </c>
      <c r="M110" s="2">
        <v>3</v>
      </c>
      <c r="N110" s="2" t="s">
        <v>8</v>
      </c>
      <c r="O110" s="2">
        <v>26</v>
      </c>
      <c r="P110" s="2">
        <f ca="1">ROUND((IF(I110="",TODAY(),I110)-H110)/365,1)</f>
        <v>0.4</v>
      </c>
      <c r="Q110" s="2" t="str">
        <f t="shared" si="1"/>
        <v>N/A</v>
      </c>
    </row>
    <row r="111" spans="1:17" x14ac:dyDescent="0.35">
      <c r="A111" s="2" t="s">
        <v>407</v>
      </c>
      <c r="B111" s="2" t="s">
        <v>408</v>
      </c>
      <c r="C111" s="2" t="s">
        <v>10</v>
      </c>
      <c r="D111" s="2" t="s">
        <v>111</v>
      </c>
      <c r="E111" s="2" t="s">
        <v>46</v>
      </c>
      <c r="F111" s="2">
        <v>58</v>
      </c>
      <c r="G111" s="2" t="s">
        <v>32</v>
      </c>
      <c r="H111" s="3" t="s">
        <v>409</v>
      </c>
      <c r="I111" s="2"/>
      <c r="J111" s="2" t="s">
        <v>8</v>
      </c>
      <c r="K111" s="2">
        <v>78088</v>
      </c>
      <c r="L111" s="2">
        <v>3</v>
      </c>
      <c r="M111" s="2">
        <v>4</v>
      </c>
      <c r="N111" s="2" t="s">
        <v>8</v>
      </c>
      <c r="O111" s="2">
        <v>8</v>
      </c>
      <c r="P111" s="2">
        <f ca="1">ROUND((IF(I111="",TODAY(),I111)-H111)/365,1)</f>
        <v>7.1</v>
      </c>
      <c r="Q111" s="2" t="str">
        <f t="shared" si="1"/>
        <v>Low</v>
      </c>
    </row>
    <row r="112" spans="1:17" x14ac:dyDescent="0.35">
      <c r="A112" s="2" t="s">
        <v>410</v>
      </c>
      <c r="B112" s="2" t="s">
        <v>411</v>
      </c>
      <c r="C112" s="2" t="s">
        <v>7</v>
      </c>
      <c r="D112" s="2" t="s">
        <v>37</v>
      </c>
      <c r="E112" s="2" t="s">
        <v>46</v>
      </c>
      <c r="F112" s="2">
        <v>49</v>
      </c>
      <c r="G112" s="2" t="s">
        <v>32</v>
      </c>
      <c r="H112" s="3" t="s">
        <v>412</v>
      </c>
      <c r="I112" s="2"/>
      <c r="J112" s="2" t="s">
        <v>8</v>
      </c>
      <c r="K112" s="2">
        <v>93676</v>
      </c>
      <c r="L112" s="2">
        <v>5</v>
      </c>
      <c r="M112" s="2">
        <v>4</v>
      </c>
      <c r="N112" s="2" t="s">
        <v>6</v>
      </c>
      <c r="O112" s="2">
        <v>26</v>
      </c>
      <c r="P112" s="2">
        <f ca="1">ROUND((IF(I112="",TODAY(),I112)-H112)/365,1)</f>
        <v>2.1</v>
      </c>
      <c r="Q112" s="2" t="str">
        <f t="shared" si="1"/>
        <v>Medium</v>
      </c>
    </row>
    <row r="113" spans="1:17" x14ac:dyDescent="0.35">
      <c r="A113" s="2" t="s">
        <v>413</v>
      </c>
      <c r="B113" s="2" t="s">
        <v>414</v>
      </c>
      <c r="C113" s="2" t="s">
        <v>9</v>
      </c>
      <c r="D113" s="2" t="s">
        <v>77</v>
      </c>
      <c r="E113" s="2" t="s">
        <v>46</v>
      </c>
      <c r="F113" s="2">
        <v>32</v>
      </c>
      <c r="G113" s="2" t="s">
        <v>78</v>
      </c>
      <c r="H113" s="3" t="s">
        <v>415</v>
      </c>
      <c r="I113" s="2"/>
      <c r="J113" s="2" t="s">
        <v>8</v>
      </c>
      <c r="K113" s="2">
        <v>50415</v>
      </c>
      <c r="L113" s="2">
        <v>5</v>
      </c>
      <c r="M113" s="2">
        <v>1</v>
      </c>
      <c r="N113" s="2" t="s">
        <v>8</v>
      </c>
      <c r="O113" s="2">
        <v>33</v>
      </c>
      <c r="P113" s="2">
        <f ca="1">ROUND((IF(I113="",TODAY(),I113)-H113)/365,1)</f>
        <v>10.8</v>
      </c>
      <c r="Q113" s="2" t="str">
        <f t="shared" si="1"/>
        <v>Medium</v>
      </c>
    </row>
    <row r="114" spans="1:17" x14ac:dyDescent="0.35">
      <c r="A114" s="2" t="s">
        <v>416</v>
      </c>
      <c r="B114" s="2" t="s">
        <v>417</v>
      </c>
      <c r="C114" s="2" t="s">
        <v>12</v>
      </c>
      <c r="D114" s="2" t="s">
        <v>30</v>
      </c>
      <c r="E114" s="2" t="s">
        <v>31</v>
      </c>
      <c r="F114" s="2">
        <v>38</v>
      </c>
      <c r="G114" s="2" t="s">
        <v>56</v>
      </c>
      <c r="H114" s="3" t="s">
        <v>418</v>
      </c>
      <c r="I114" s="2"/>
      <c r="J114" s="2" t="s">
        <v>8</v>
      </c>
      <c r="K114" s="2">
        <v>149687</v>
      </c>
      <c r="L114" s="2">
        <v>1</v>
      </c>
      <c r="M114" s="2">
        <v>2</v>
      </c>
      <c r="N114" s="2" t="s">
        <v>6</v>
      </c>
      <c r="O114" s="2">
        <v>12</v>
      </c>
      <c r="P114" s="2">
        <f ca="1">ROUND((IF(I114="",TODAY(),I114)-H114)/365,1)</f>
        <v>9.4</v>
      </c>
      <c r="Q114" s="2" t="str">
        <f t="shared" si="1"/>
        <v>High</v>
      </c>
    </row>
    <row r="115" spans="1:17" x14ac:dyDescent="0.35">
      <c r="A115" s="2" t="s">
        <v>419</v>
      </c>
      <c r="B115" s="2" t="s">
        <v>420</v>
      </c>
      <c r="C115" s="2" t="s">
        <v>11</v>
      </c>
      <c r="D115" s="2" t="s">
        <v>98</v>
      </c>
      <c r="E115" s="2" t="s">
        <v>46</v>
      </c>
      <c r="F115" s="2">
        <v>42</v>
      </c>
      <c r="G115" s="2" t="s">
        <v>78</v>
      </c>
      <c r="H115" s="3" t="s">
        <v>421</v>
      </c>
      <c r="I115" s="2"/>
      <c r="J115" s="2" t="s">
        <v>8</v>
      </c>
      <c r="K115" s="2">
        <v>33950</v>
      </c>
      <c r="L115" s="2">
        <v>2</v>
      </c>
      <c r="M115" s="2">
        <v>3</v>
      </c>
      <c r="N115" s="2" t="s">
        <v>8</v>
      </c>
      <c r="O115" s="2">
        <v>29</v>
      </c>
      <c r="P115" s="2">
        <f ca="1">ROUND((IF(I115="",TODAY(),I115)-H115)/365,1)</f>
        <v>1.9</v>
      </c>
      <c r="Q115" s="2" t="str">
        <f t="shared" si="1"/>
        <v>Low</v>
      </c>
    </row>
    <row r="116" spans="1:17" x14ac:dyDescent="0.35">
      <c r="A116" s="2" t="s">
        <v>422</v>
      </c>
      <c r="B116" s="2" t="s">
        <v>423</v>
      </c>
      <c r="C116" s="2" t="s">
        <v>9</v>
      </c>
      <c r="D116" s="2" t="s">
        <v>41</v>
      </c>
      <c r="E116" s="2" t="s">
        <v>31</v>
      </c>
      <c r="F116" s="2">
        <v>26</v>
      </c>
      <c r="G116" s="2" t="s">
        <v>78</v>
      </c>
      <c r="H116" s="3" t="s">
        <v>424</v>
      </c>
      <c r="I116" s="3" t="s">
        <v>425</v>
      </c>
      <c r="J116" s="2" t="s">
        <v>6</v>
      </c>
      <c r="K116" s="2">
        <v>134012</v>
      </c>
      <c r="L116" s="2">
        <v>1</v>
      </c>
      <c r="M116" s="2">
        <v>1</v>
      </c>
      <c r="N116" s="2" t="s">
        <v>8</v>
      </c>
      <c r="O116" s="2">
        <v>24</v>
      </c>
      <c r="P116" s="2">
        <f ca="1">ROUND((IF(I116="",TODAY(),I116)-H116)/365,1)</f>
        <v>1.2</v>
      </c>
      <c r="Q116" s="2" t="str">
        <f t="shared" si="1"/>
        <v>N/A</v>
      </c>
    </row>
    <row r="117" spans="1:17" x14ac:dyDescent="0.35">
      <c r="A117" s="2" t="s">
        <v>426</v>
      </c>
      <c r="B117" s="2" t="s">
        <v>427</v>
      </c>
      <c r="C117" s="2" t="s">
        <v>11</v>
      </c>
      <c r="D117" s="2" t="s">
        <v>98</v>
      </c>
      <c r="E117" s="2" t="s">
        <v>46</v>
      </c>
      <c r="F117" s="2">
        <v>57</v>
      </c>
      <c r="G117" s="2" t="s">
        <v>32</v>
      </c>
      <c r="H117" s="3" t="s">
        <v>428</v>
      </c>
      <c r="I117" s="3" t="s">
        <v>429</v>
      </c>
      <c r="J117" s="2" t="s">
        <v>6</v>
      </c>
      <c r="K117" s="2">
        <v>110437</v>
      </c>
      <c r="L117" s="2">
        <v>4</v>
      </c>
      <c r="M117" s="2">
        <v>1</v>
      </c>
      <c r="N117" s="2" t="s">
        <v>8</v>
      </c>
      <c r="O117" s="2">
        <v>37</v>
      </c>
      <c r="P117" s="2">
        <f ca="1">ROUND((IF(I117="",TODAY(),I117)-H117)/365,1)</f>
        <v>1.5</v>
      </c>
      <c r="Q117" s="2" t="str">
        <f t="shared" si="1"/>
        <v>N/A</v>
      </c>
    </row>
    <row r="118" spans="1:17" x14ac:dyDescent="0.35">
      <c r="A118" s="2" t="s">
        <v>430</v>
      </c>
      <c r="B118" s="2" t="s">
        <v>431</v>
      </c>
      <c r="C118" s="2" t="s">
        <v>11</v>
      </c>
      <c r="D118" s="2" t="s">
        <v>45</v>
      </c>
      <c r="E118" s="2" t="s">
        <v>31</v>
      </c>
      <c r="F118" s="2">
        <v>43</v>
      </c>
      <c r="G118" s="2" t="s">
        <v>78</v>
      </c>
      <c r="H118" s="3" t="s">
        <v>432</v>
      </c>
      <c r="I118" s="2"/>
      <c r="J118" s="2" t="s">
        <v>8</v>
      </c>
      <c r="K118" s="2">
        <v>117749</v>
      </c>
      <c r="L118" s="2">
        <v>1</v>
      </c>
      <c r="M118" s="2">
        <v>2</v>
      </c>
      <c r="N118" s="2" t="s">
        <v>6</v>
      </c>
      <c r="O118" s="2">
        <v>16</v>
      </c>
      <c r="P118" s="2">
        <f ca="1">ROUND((IF(I118="",TODAY(),I118)-H118)/365,1)</f>
        <v>3.6</v>
      </c>
      <c r="Q118" s="2" t="str">
        <f t="shared" si="1"/>
        <v>High</v>
      </c>
    </row>
    <row r="119" spans="1:17" x14ac:dyDescent="0.35">
      <c r="A119" s="2" t="s">
        <v>433</v>
      </c>
      <c r="B119" s="2" t="s">
        <v>434</v>
      </c>
      <c r="C119" s="2" t="s">
        <v>11</v>
      </c>
      <c r="D119" s="2" t="s">
        <v>98</v>
      </c>
      <c r="E119" s="2" t="s">
        <v>31</v>
      </c>
      <c r="F119" s="2">
        <v>40</v>
      </c>
      <c r="G119" s="2" t="s">
        <v>56</v>
      </c>
      <c r="H119" s="3" t="s">
        <v>435</v>
      </c>
      <c r="I119" s="2"/>
      <c r="J119" s="2" t="s">
        <v>8</v>
      </c>
      <c r="K119" s="2">
        <v>128445</v>
      </c>
      <c r="L119" s="2">
        <v>5</v>
      </c>
      <c r="M119" s="2">
        <v>3</v>
      </c>
      <c r="N119" s="2" t="s">
        <v>8</v>
      </c>
      <c r="O119" s="2">
        <v>4</v>
      </c>
      <c r="P119" s="2">
        <f ca="1">ROUND((IF(I119="",TODAY(),I119)-H119)/365,1)</f>
        <v>7.3</v>
      </c>
      <c r="Q119" s="2" t="str">
        <f t="shared" si="1"/>
        <v>Low</v>
      </c>
    </row>
    <row r="120" spans="1:17" x14ac:dyDescent="0.35">
      <c r="A120" s="2" t="s">
        <v>436</v>
      </c>
      <c r="B120" s="2" t="s">
        <v>437</v>
      </c>
      <c r="C120" s="2" t="s">
        <v>5</v>
      </c>
      <c r="D120" s="2" t="s">
        <v>207</v>
      </c>
      <c r="E120" s="2" t="s">
        <v>31</v>
      </c>
      <c r="F120" s="2">
        <v>40</v>
      </c>
      <c r="G120" s="2" t="s">
        <v>56</v>
      </c>
      <c r="H120" s="3" t="s">
        <v>438</v>
      </c>
      <c r="I120" s="2"/>
      <c r="J120" s="2" t="s">
        <v>8</v>
      </c>
      <c r="K120" s="2">
        <v>35682</v>
      </c>
      <c r="L120" s="2">
        <v>2</v>
      </c>
      <c r="M120" s="2">
        <v>5</v>
      </c>
      <c r="N120" s="2" t="s">
        <v>8</v>
      </c>
      <c r="O120" s="2">
        <v>22</v>
      </c>
      <c r="P120" s="2">
        <f ca="1">ROUND((IF(I120="",TODAY(),I120)-H120)/365,1)</f>
        <v>8.8000000000000007</v>
      </c>
      <c r="Q120" s="2" t="str">
        <f t="shared" si="1"/>
        <v>Low</v>
      </c>
    </row>
    <row r="121" spans="1:17" x14ac:dyDescent="0.35">
      <c r="A121" s="2" t="s">
        <v>439</v>
      </c>
      <c r="B121" s="2" t="s">
        <v>440</v>
      </c>
      <c r="C121" s="2" t="s">
        <v>9</v>
      </c>
      <c r="D121" s="2" t="s">
        <v>41</v>
      </c>
      <c r="E121" s="2" t="s">
        <v>46</v>
      </c>
      <c r="F121" s="2">
        <v>27</v>
      </c>
      <c r="G121" s="2" t="s">
        <v>56</v>
      </c>
      <c r="H121" s="3" t="s">
        <v>441</v>
      </c>
      <c r="I121" s="2"/>
      <c r="J121" s="2" t="s">
        <v>8</v>
      </c>
      <c r="K121" s="2">
        <v>117121</v>
      </c>
      <c r="L121" s="2">
        <v>2</v>
      </c>
      <c r="M121" s="2">
        <v>3</v>
      </c>
      <c r="N121" s="2" t="s">
        <v>8</v>
      </c>
      <c r="O121" s="2">
        <v>43</v>
      </c>
      <c r="P121" s="2">
        <f ca="1">ROUND((IF(I121="",TODAY(),I121)-H121)/365,1)</f>
        <v>8.1</v>
      </c>
      <c r="Q121" s="2" t="str">
        <f t="shared" si="1"/>
        <v>Low</v>
      </c>
    </row>
    <row r="122" spans="1:17" x14ac:dyDescent="0.35">
      <c r="A122" s="2" t="s">
        <v>442</v>
      </c>
      <c r="B122" s="2" t="s">
        <v>443</v>
      </c>
      <c r="C122" s="2" t="s">
        <v>11</v>
      </c>
      <c r="D122" s="2" t="s">
        <v>45</v>
      </c>
      <c r="E122" s="2" t="s">
        <v>46</v>
      </c>
      <c r="F122" s="2">
        <v>23</v>
      </c>
      <c r="G122" s="2" t="s">
        <v>32</v>
      </c>
      <c r="H122" s="3" t="s">
        <v>444</v>
      </c>
      <c r="I122" s="2"/>
      <c r="J122" s="2" t="s">
        <v>8</v>
      </c>
      <c r="K122" s="2">
        <v>50166</v>
      </c>
      <c r="L122" s="2">
        <v>3</v>
      </c>
      <c r="M122" s="2">
        <v>2</v>
      </c>
      <c r="N122" s="2" t="s">
        <v>6</v>
      </c>
      <c r="O122" s="2">
        <v>32</v>
      </c>
      <c r="P122" s="2">
        <f ca="1">ROUND((IF(I122="",TODAY(),I122)-H122)/365,1)</f>
        <v>7.5</v>
      </c>
      <c r="Q122" s="2" t="str">
        <f t="shared" si="1"/>
        <v>High</v>
      </c>
    </row>
    <row r="123" spans="1:17" x14ac:dyDescent="0.35">
      <c r="A123" s="2" t="s">
        <v>445</v>
      </c>
      <c r="B123" s="2" t="s">
        <v>446</v>
      </c>
      <c r="C123" s="2" t="s">
        <v>7</v>
      </c>
      <c r="D123" s="2" t="s">
        <v>155</v>
      </c>
      <c r="E123" s="2" t="s">
        <v>46</v>
      </c>
      <c r="F123" s="2">
        <v>56</v>
      </c>
      <c r="G123" s="2" t="s">
        <v>56</v>
      </c>
      <c r="H123" s="3" t="s">
        <v>447</v>
      </c>
      <c r="I123" s="3" t="s">
        <v>448</v>
      </c>
      <c r="J123" s="2" t="s">
        <v>6</v>
      </c>
      <c r="K123" s="2">
        <v>69140</v>
      </c>
      <c r="L123" s="2">
        <v>1</v>
      </c>
      <c r="M123" s="2">
        <v>5</v>
      </c>
      <c r="N123" s="2" t="s">
        <v>8</v>
      </c>
      <c r="O123" s="2">
        <v>43</v>
      </c>
      <c r="P123" s="2">
        <f ca="1">ROUND((IF(I123="",TODAY(),I123)-H123)/365,1)</f>
        <v>1.2</v>
      </c>
      <c r="Q123" s="2" t="str">
        <f t="shared" si="1"/>
        <v>N/A</v>
      </c>
    </row>
    <row r="124" spans="1:17" x14ac:dyDescent="0.35">
      <c r="A124" s="2" t="s">
        <v>449</v>
      </c>
      <c r="B124" s="2" t="s">
        <v>54</v>
      </c>
      <c r="C124" s="2" t="s">
        <v>7</v>
      </c>
      <c r="D124" s="2" t="s">
        <v>155</v>
      </c>
      <c r="E124" s="2" t="s">
        <v>31</v>
      </c>
      <c r="F124" s="2">
        <v>50</v>
      </c>
      <c r="G124" s="2" t="s">
        <v>56</v>
      </c>
      <c r="H124" s="3" t="s">
        <v>450</v>
      </c>
      <c r="I124" s="2"/>
      <c r="J124" s="2" t="s">
        <v>8</v>
      </c>
      <c r="K124" s="2">
        <v>62346</v>
      </c>
      <c r="L124" s="2">
        <v>4</v>
      </c>
      <c r="M124" s="2">
        <v>2</v>
      </c>
      <c r="N124" s="2" t="s">
        <v>8</v>
      </c>
      <c r="O124" s="2">
        <v>40</v>
      </c>
      <c r="P124" s="2">
        <f ca="1">ROUND((IF(I124="",TODAY(),I124)-H124)/365,1)</f>
        <v>11.1</v>
      </c>
      <c r="Q124" s="2" t="str">
        <f t="shared" si="1"/>
        <v>Medium</v>
      </c>
    </row>
    <row r="125" spans="1:17" x14ac:dyDescent="0.35">
      <c r="A125" s="2" t="s">
        <v>451</v>
      </c>
      <c r="B125" s="2" t="s">
        <v>452</v>
      </c>
      <c r="C125" s="2" t="s">
        <v>7</v>
      </c>
      <c r="D125" s="2" t="s">
        <v>37</v>
      </c>
      <c r="E125" s="2" t="s">
        <v>31</v>
      </c>
      <c r="F125" s="2">
        <v>34</v>
      </c>
      <c r="G125" s="2" t="s">
        <v>78</v>
      </c>
      <c r="H125" s="3" t="s">
        <v>453</v>
      </c>
      <c r="I125" s="2"/>
      <c r="J125" s="2" t="s">
        <v>8</v>
      </c>
      <c r="K125" s="2">
        <v>125851</v>
      </c>
      <c r="L125" s="2">
        <v>4</v>
      </c>
      <c r="M125" s="2">
        <v>5</v>
      </c>
      <c r="N125" s="2" t="s">
        <v>8</v>
      </c>
      <c r="O125" s="2">
        <v>30</v>
      </c>
      <c r="P125" s="2">
        <f ca="1">ROUND((IF(I125="",TODAY(),I125)-H125)/365,1)</f>
        <v>7.5</v>
      </c>
      <c r="Q125" s="2" t="str">
        <f t="shared" si="1"/>
        <v>Low</v>
      </c>
    </row>
    <row r="126" spans="1:17" x14ac:dyDescent="0.35">
      <c r="A126" s="2" t="s">
        <v>454</v>
      </c>
      <c r="B126" s="2" t="s">
        <v>455</v>
      </c>
      <c r="C126" s="2" t="s">
        <v>11</v>
      </c>
      <c r="D126" s="2" t="s">
        <v>98</v>
      </c>
      <c r="E126" s="2" t="s">
        <v>46</v>
      </c>
      <c r="F126" s="2">
        <v>30</v>
      </c>
      <c r="G126" s="2" t="s">
        <v>32</v>
      </c>
      <c r="H126" s="3" t="s">
        <v>456</v>
      </c>
      <c r="I126" s="2"/>
      <c r="J126" s="2" t="s">
        <v>8</v>
      </c>
      <c r="K126" s="2">
        <v>147459</v>
      </c>
      <c r="L126" s="2">
        <v>3</v>
      </c>
      <c r="M126" s="2">
        <v>4</v>
      </c>
      <c r="N126" s="2" t="s">
        <v>6</v>
      </c>
      <c r="O126" s="2">
        <v>36</v>
      </c>
      <c r="P126" s="2">
        <f ca="1">ROUND((IF(I126="",TODAY(),I126)-H126)/365,1)</f>
        <v>1.8</v>
      </c>
      <c r="Q126" s="2" t="str">
        <f t="shared" si="1"/>
        <v>Medium</v>
      </c>
    </row>
    <row r="127" spans="1:17" x14ac:dyDescent="0.35">
      <c r="A127" s="2" t="s">
        <v>457</v>
      </c>
      <c r="B127" s="2" t="s">
        <v>458</v>
      </c>
      <c r="C127" s="2" t="s">
        <v>11</v>
      </c>
      <c r="D127" s="2" t="s">
        <v>45</v>
      </c>
      <c r="E127" s="2" t="s">
        <v>46</v>
      </c>
      <c r="F127" s="2">
        <v>39</v>
      </c>
      <c r="G127" s="2" t="s">
        <v>32</v>
      </c>
      <c r="H127" s="3" t="s">
        <v>459</v>
      </c>
      <c r="I127" s="2"/>
      <c r="J127" s="2" t="s">
        <v>8</v>
      </c>
      <c r="K127" s="2">
        <v>149048</v>
      </c>
      <c r="L127" s="2">
        <v>4</v>
      </c>
      <c r="M127" s="2">
        <v>2</v>
      </c>
      <c r="N127" s="2" t="s">
        <v>8</v>
      </c>
      <c r="O127" s="2">
        <v>6</v>
      </c>
      <c r="P127" s="2">
        <f ca="1">ROUND((IF(I127="",TODAY(),I127)-H127)/365,1)</f>
        <v>6.6</v>
      </c>
      <c r="Q127" s="2" t="str">
        <f t="shared" si="1"/>
        <v>Medium</v>
      </c>
    </row>
    <row r="128" spans="1:17" x14ac:dyDescent="0.35">
      <c r="A128" s="2" t="s">
        <v>460</v>
      </c>
      <c r="B128" s="2" t="s">
        <v>461</v>
      </c>
      <c r="C128" s="2" t="s">
        <v>9</v>
      </c>
      <c r="D128" s="2" t="s">
        <v>51</v>
      </c>
      <c r="E128" s="2" t="s">
        <v>46</v>
      </c>
      <c r="F128" s="2">
        <v>54</v>
      </c>
      <c r="G128" s="2" t="s">
        <v>78</v>
      </c>
      <c r="H128" s="3" t="s">
        <v>462</v>
      </c>
      <c r="I128" s="2"/>
      <c r="J128" s="2" t="s">
        <v>8</v>
      </c>
      <c r="K128" s="2">
        <v>28694</v>
      </c>
      <c r="L128" s="2">
        <v>3</v>
      </c>
      <c r="M128" s="2">
        <v>1</v>
      </c>
      <c r="N128" s="2" t="s">
        <v>6</v>
      </c>
      <c r="O128" s="2">
        <v>15</v>
      </c>
      <c r="P128" s="2">
        <f ca="1">ROUND((IF(I128="",TODAY(),I128)-H128)/365,1)</f>
        <v>7.4</v>
      </c>
      <c r="Q128" s="2" t="str">
        <f t="shared" si="1"/>
        <v>High</v>
      </c>
    </row>
    <row r="129" spans="1:17" x14ac:dyDescent="0.35">
      <c r="A129" s="2" t="s">
        <v>463</v>
      </c>
      <c r="B129" s="2" t="s">
        <v>464</v>
      </c>
      <c r="C129" s="2" t="s">
        <v>12</v>
      </c>
      <c r="D129" s="2" t="s">
        <v>55</v>
      </c>
      <c r="E129" s="2" t="s">
        <v>46</v>
      </c>
      <c r="F129" s="2">
        <v>24</v>
      </c>
      <c r="G129" s="2" t="s">
        <v>56</v>
      </c>
      <c r="H129" s="3" t="s">
        <v>465</v>
      </c>
      <c r="I129" s="3" t="s">
        <v>466</v>
      </c>
      <c r="J129" s="2" t="s">
        <v>6</v>
      </c>
      <c r="K129" s="2">
        <v>83799</v>
      </c>
      <c r="L129" s="2">
        <v>2</v>
      </c>
      <c r="M129" s="2">
        <v>4</v>
      </c>
      <c r="N129" s="2" t="s">
        <v>8</v>
      </c>
      <c r="O129" s="2">
        <v>31</v>
      </c>
      <c r="P129" s="2">
        <f ca="1">ROUND((IF(I129="",TODAY(),I129)-H129)/365,1)</f>
        <v>1.1000000000000001</v>
      </c>
      <c r="Q129" s="2" t="str">
        <f t="shared" si="1"/>
        <v>N/A</v>
      </c>
    </row>
    <row r="130" spans="1:17" x14ac:dyDescent="0.35">
      <c r="A130" s="2" t="s">
        <v>467</v>
      </c>
      <c r="B130" s="2" t="s">
        <v>468</v>
      </c>
      <c r="C130" s="2" t="s">
        <v>5</v>
      </c>
      <c r="D130" s="2" t="s">
        <v>207</v>
      </c>
      <c r="E130" s="2" t="s">
        <v>31</v>
      </c>
      <c r="F130" s="2">
        <v>55</v>
      </c>
      <c r="G130" s="2" t="s">
        <v>32</v>
      </c>
      <c r="H130" s="3" t="s">
        <v>469</v>
      </c>
      <c r="I130" s="3" t="s">
        <v>470</v>
      </c>
      <c r="J130" s="2" t="s">
        <v>6</v>
      </c>
      <c r="K130" s="2">
        <v>40970</v>
      </c>
      <c r="L130" s="2">
        <v>2</v>
      </c>
      <c r="M130" s="2">
        <v>3</v>
      </c>
      <c r="N130" s="2" t="s">
        <v>6</v>
      </c>
      <c r="O130" s="2">
        <v>20</v>
      </c>
      <c r="P130" s="2">
        <f ca="1">ROUND((IF(I130="",TODAY(),I130)-H130)/365,1)</f>
        <v>5.3</v>
      </c>
      <c r="Q130" s="2" t="str">
        <f t="shared" ref="Q130:Q193" si="2">IF(J130="No",IF(AND(M130&lt;=2,N130="Yes"),"High",IF(OR(M130&lt;=2,N130="Yes"),"Medium","Low")),"N/A")</f>
        <v>N/A</v>
      </c>
    </row>
    <row r="131" spans="1:17" x14ac:dyDescent="0.35">
      <c r="A131" s="2" t="s">
        <v>471</v>
      </c>
      <c r="B131" s="2" t="s">
        <v>472</v>
      </c>
      <c r="C131" s="2" t="s">
        <v>5</v>
      </c>
      <c r="D131" s="2" t="s">
        <v>94</v>
      </c>
      <c r="E131" s="2" t="s">
        <v>46</v>
      </c>
      <c r="F131" s="2">
        <v>23</v>
      </c>
      <c r="G131" s="2" t="s">
        <v>32</v>
      </c>
      <c r="H131" s="3" t="s">
        <v>473</v>
      </c>
      <c r="I131" s="2"/>
      <c r="J131" s="2" t="s">
        <v>8</v>
      </c>
      <c r="K131" s="2">
        <v>81261</v>
      </c>
      <c r="L131" s="2">
        <v>2</v>
      </c>
      <c r="M131" s="2">
        <v>2</v>
      </c>
      <c r="N131" s="2" t="s">
        <v>8</v>
      </c>
      <c r="O131" s="2">
        <v>19</v>
      </c>
      <c r="P131" s="2">
        <f ca="1">ROUND((IF(I131="",TODAY(),I131)-H131)/365,1)</f>
        <v>4.5</v>
      </c>
      <c r="Q131" s="2" t="str">
        <f t="shared" si="2"/>
        <v>Medium</v>
      </c>
    </row>
    <row r="132" spans="1:17" x14ac:dyDescent="0.35">
      <c r="A132" s="2" t="s">
        <v>474</v>
      </c>
      <c r="B132" s="2" t="s">
        <v>475</v>
      </c>
      <c r="C132" s="2" t="s">
        <v>7</v>
      </c>
      <c r="D132" s="2" t="s">
        <v>37</v>
      </c>
      <c r="E132" s="2" t="s">
        <v>46</v>
      </c>
      <c r="F132" s="2">
        <v>55</v>
      </c>
      <c r="G132" s="2" t="s">
        <v>56</v>
      </c>
      <c r="H132" s="3" t="s">
        <v>476</v>
      </c>
      <c r="I132" s="2"/>
      <c r="J132" s="2" t="s">
        <v>8</v>
      </c>
      <c r="K132" s="2">
        <v>128076</v>
      </c>
      <c r="L132" s="2">
        <v>5</v>
      </c>
      <c r="M132" s="2">
        <v>5</v>
      </c>
      <c r="N132" s="2" t="s">
        <v>6</v>
      </c>
      <c r="O132" s="2">
        <v>33</v>
      </c>
      <c r="P132" s="2">
        <f ca="1">ROUND((IF(I132="",TODAY(),I132)-H132)/365,1)</f>
        <v>7.6</v>
      </c>
      <c r="Q132" s="2" t="str">
        <f t="shared" si="2"/>
        <v>Medium</v>
      </c>
    </row>
    <row r="133" spans="1:17" x14ac:dyDescent="0.35">
      <c r="A133" s="2" t="s">
        <v>477</v>
      </c>
      <c r="B133" s="2" t="s">
        <v>478</v>
      </c>
      <c r="C133" s="2" t="s">
        <v>10</v>
      </c>
      <c r="D133" s="2" t="s">
        <v>258</v>
      </c>
      <c r="E133" s="2" t="s">
        <v>31</v>
      </c>
      <c r="F133" s="2">
        <v>38</v>
      </c>
      <c r="G133" s="2" t="s">
        <v>56</v>
      </c>
      <c r="H133" s="3" t="s">
        <v>479</v>
      </c>
      <c r="I133" s="2"/>
      <c r="J133" s="2" t="s">
        <v>8</v>
      </c>
      <c r="K133" s="2">
        <v>121068</v>
      </c>
      <c r="L133" s="2">
        <v>3</v>
      </c>
      <c r="M133" s="2">
        <v>1</v>
      </c>
      <c r="N133" s="2" t="s">
        <v>6</v>
      </c>
      <c r="O133" s="2">
        <v>16</v>
      </c>
      <c r="P133" s="2">
        <f ca="1">ROUND((IF(I133="",TODAY(),I133)-H133)/365,1)</f>
        <v>3.2</v>
      </c>
      <c r="Q133" s="2" t="str">
        <f t="shared" si="2"/>
        <v>High</v>
      </c>
    </row>
    <row r="134" spans="1:17" x14ac:dyDescent="0.35">
      <c r="A134" s="2" t="s">
        <v>480</v>
      </c>
      <c r="B134" s="2" t="s">
        <v>481</v>
      </c>
      <c r="C134" s="2" t="s">
        <v>11</v>
      </c>
      <c r="D134" s="2" t="s">
        <v>98</v>
      </c>
      <c r="E134" s="2" t="s">
        <v>46</v>
      </c>
      <c r="F134" s="2">
        <v>44</v>
      </c>
      <c r="G134" s="2" t="s">
        <v>56</v>
      </c>
      <c r="H134" s="3" t="s">
        <v>482</v>
      </c>
      <c r="I134" s="3" t="s">
        <v>483</v>
      </c>
      <c r="J134" s="2" t="s">
        <v>6</v>
      </c>
      <c r="K134" s="2">
        <v>87722</v>
      </c>
      <c r="L134" s="2">
        <v>4</v>
      </c>
      <c r="M134" s="2">
        <v>2</v>
      </c>
      <c r="N134" s="2" t="s">
        <v>6</v>
      </c>
      <c r="O134" s="2">
        <v>45</v>
      </c>
      <c r="P134" s="2">
        <f ca="1">ROUND((IF(I134="",TODAY(),I134)-H134)/365,1)</f>
        <v>0.9</v>
      </c>
      <c r="Q134" s="2" t="str">
        <f t="shared" si="2"/>
        <v>N/A</v>
      </c>
    </row>
    <row r="135" spans="1:17" x14ac:dyDescent="0.35">
      <c r="A135" s="2" t="s">
        <v>484</v>
      </c>
      <c r="B135" s="2" t="s">
        <v>485</v>
      </c>
      <c r="C135" s="2" t="s">
        <v>5</v>
      </c>
      <c r="D135" s="2" t="s">
        <v>102</v>
      </c>
      <c r="E135" s="2" t="s">
        <v>46</v>
      </c>
      <c r="F135" s="2">
        <v>34</v>
      </c>
      <c r="G135" s="2" t="s">
        <v>78</v>
      </c>
      <c r="H135" s="3" t="s">
        <v>486</v>
      </c>
      <c r="I135" s="2"/>
      <c r="J135" s="2" t="s">
        <v>8</v>
      </c>
      <c r="K135" s="2">
        <v>92552</v>
      </c>
      <c r="L135" s="2">
        <v>3</v>
      </c>
      <c r="M135" s="2">
        <v>1</v>
      </c>
      <c r="N135" s="2" t="s">
        <v>8</v>
      </c>
      <c r="O135" s="2">
        <v>20</v>
      </c>
      <c r="P135" s="2">
        <f ca="1">ROUND((IF(I135="",TODAY(),I135)-H135)/365,1)</f>
        <v>11.1</v>
      </c>
      <c r="Q135" s="2" t="str">
        <f t="shared" si="2"/>
        <v>Medium</v>
      </c>
    </row>
    <row r="136" spans="1:17" x14ac:dyDescent="0.35">
      <c r="A136" s="2" t="s">
        <v>487</v>
      </c>
      <c r="B136" s="2" t="s">
        <v>488</v>
      </c>
      <c r="C136" s="2" t="s">
        <v>11</v>
      </c>
      <c r="D136" s="2" t="s">
        <v>66</v>
      </c>
      <c r="E136" s="2" t="s">
        <v>46</v>
      </c>
      <c r="F136" s="2">
        <v>40</v>
      </c>
      <c r="G136" s="2" t="s">
        <v>78</v>
      </c>
      <c r="H136" s="3" t="s">
        <v>489</v>
      </c>
      <c r="I136" s="2"/>
      <c r="J136" s="2" t="s">
        <v>8</v>
      </c>
      <c r="K136" s="2">
        <v>41315</v>
      </c>
      <c r="L136" s="2">
        <v>3</v>
      </c>
      <c r="M136" s="2">
        <v>1</v>
      </c>
      <c r="N136" s="2" t="s">
        <v>8</v>
      </c>
      <c r="O136" s="2">
        <v>18</v>
      </c>
      <c r="P136" s="2">
        <f ca="1">ROUND((IF(I136="",TODAY(),I136)-H136)/365,1)</f>
        <v>7.6</v>
      </c>
      <c r="Q136" s="2" t="str">
        <f t="shared" si="2"/>
        <v>Medium</v>
      </c>
    </row>
    <row r="137" spans="1:17" x14ac:dyDescent="0.35">
      <c r="A137" s="2" t="s">
        <v>490</v>
      </c>
      <c r="B137" s="2" t="s">
        <v>491</v>
      </c>
      <c r="C137" s="2" t="s">
        <v>10</v>
      </c>
      <c r="D137" s="2" t="s">
        <v>70</v>
      </c>
      <c r="E137" s="2" t="s">
        <v>46</v>
      </c>
      <c r="F137" s="2">
        <v>33</v>
      </c>
      <c r="G137" s="2" t="s">
        <v>32</v>
      </c>
      <c r="H137" s="3" t="s">
        <v>492</v>
      </c>
      <c r="I137" s="2"/>
      <c r="J137" s="2" t="s">
        <v>8</v>
      </c>
      <c r="K137" s="2">
        <v>130008</v>
      </c>
      <c r="L137" s="2">
        <v>5</v>
      </c>
      <c r="M137" s="2">
        <v>3</v>
      </c>
      <c r="N137" s="2" t="s">
        <v>8</v>
      </c>
      <c r="O137" s="2">
        <v>18</v>
      </c>
      <c r="P137" s="2">
        <f ca="1">ROUND((IF(I137="",TODAY(),I137)-H137)/365,1)</f>
        <v>6</v>
      </c>
      <c r="Q137" s="2" t="str">
        <f t="shared" si="2"/>
        <v>Low</v>
      </c>
    </row>
    <row r="138" spans="1:17" x14ac:dyDescent="0.35">
      <c r="A138" s="2" t="s">
        <v>493</v>
      </c>
      <c r="B138" s="2" t="s">
        <v>132</v>
      </c>
      <c r="C138" s="2" t="s">
        <v>5</v>
      </c>
      <c r="D138" s="2" t="s">
        <v>207</v>
      </c>
      <c r="E138" s="2" t="s">
        <v>31</v>
      </c>
      <c r="F138" s="2">
        <v>42</v>
      </c>
      <c r="G138" s="2" t="s">
        <v>56</v>
      </c>
      <c r="H138" s="3" t="s">
        <v>494</v>
      </c>
      <c r="I138" s="2"/>
      <c r="J138" s="2" t="s">
        <v>8</v>
      </c>
      <c r="K138" s="2">
        <v>103986</v>
      </c>
      <c r="L138" s="2">
        <v>3</v>
      </c>
      <c r="M138" s="2">
        <v>3</v>
      </c>
      <c r="N138" s="2" t="s">
        <v>6</v>
      </c>
      <c r="O138" s="2">
        <v>29</v>
      </c>
      <c r="P138" s="2">
        <f ca="1">ROUND((IF(I138="",TODAY(),I138)-H138)/365,1)</f>
        <v>10.5</v>
      </c>
      <c r="Q138" s="2" t="str">
        <f t="shared" si="2"/>
        <v>Medium</v>
      </c>
    </row>
    <row r="139" spans="1:17" x14ac:dyDescent="0.35">
      <c r="A139" s="2" t="s">
        <v>495</v>
      </c>
      <c r="B139" s="2" t="s">
        <v>496</v>
      </c>
      <c r="C139" s="2" t="s">
        <v>12</v>
      </c>
      <c r="D139" s="2" t="s">
        <v>133</v>
      </c>
      <c r="E139" s="2" t="s">
        <v>46</v>
      </c>
      <c r="F139" s="2">
        <v>44</v>
      </c>
      <c r="G139" s="2" t="s">
        <v>56</v>
      </c>
      <c r="H139" s="3" t="s">
        <v>497</v>
      </c>
      <c r="I139" s="2"/>
      <c r="J139" s="2" t="s">
        <v>8</v>
      </c>
      <c r="K139" s="2">
        <v>112973</v>
      </c>
      <c r="L139" s="2">
        <v>1</v>
      </c>
      <c r="M139" s="2">
        <v>3</v>
      </c>
      <c r="N139" s="2" t="s">
        <v>8</v>
      </c>
      <c r="O139" s="2">
        <v>5</v>
      </c>
      <c r="P139" s="2">
        <f ca="1">ROUND((IF(I139="",TODAY(),I139)-H139)/365,1)</f>
        <v>4.7</v>
      </c>
      <c r="Q139" s="2" t="str">
        <f t="shared" si="2"/>
        <v>Low</v>
      </c>
    </row>
    <row r="140" spans="1:17" x14ac:dyDescent="0.35">
      <c r="A140" s="2" t="s">
        <v>498</v>
      </c>
      <c r="B140" s="2" t="s">
        <v>499</v>
      </c>
      <c r="C140" s="2" t="s">
        <v>11</v>
      </c>
      <c r="D140" s="2" t="s">
        <v>98</v>
      </c>
      <c r="E140" s="2" t="s">
        <v>31</v>
      </c>
      <c r="F140" s="2">
        <v>50</v>
      </c>
      <c r="G140" s="2" t="s">
        <v>56</v>
      </c>
      <c r="H140" s="3" t="s">
        <v>500</v>
      </c>
      <c r="I140" s="3" t="s">
        <v>501</v>
      </c>
      <c r="J140" s="2" t="s">
        <v>6</v>
      </c>
      <c r="K140" s="2">
        <v>75181</v>
      </c>
      <c r="L140" s="2">
        <v>3</v>
      </c>
      <c r="M140" s="2">
        <v>2</v>
      </c>
      <c r="N140" s="2" t="s">
        <v>6</v>
      </c>
      <c r="O140" s="2">
        <v>24</v>
      </c>
      <c r="P140" s="2">
        <f ca="1">ROUND((IF(I140="",TODAY(),I140)-H140)/365,1)</f>
        <v>1.9</v>
      </c>
      <c r="Q140" s="2" t="str">
        <f t="shared" si="2"/>
        <v>N/A</v>
      </c>
    </row>
    <row r="141" spans="1:17" x14ac:dyDescent="0.35">
      <c r="A141" s="2" t="s">
        <v>502</v>
      </c>
      <c r="B141" s="2" t="s">
        <v>503</v>
      </c>
      <c r="C141" s="2" t="s">
        <v>12</v>
      </c>
      <c r="D141" s="2" t="s">
        <v>133</v>
      </c>
      <c r="E141" s="2" t="s">
        <v>46</v>
      </c>
      <c r="F141" s="2">
        <v>26</v>
      </c>
      <c r="G141" s="2" t="s">
        <v>78</v>
      </c>
      <c r="H141" s="3" t="s">
        <v>504</v>
      </c>
      <c r="I141" s="3" t="s">
        <v>505</v>
      </c>
      <c r="J141" s="2" t="s">
        <v>6</v>
      </c>
      <c r="K141" s="2">
        <v>110139</v>
      </c>
      <c r="L141" s="2">
        <v>4</v>
      </c>
      <c r="M141" s="2">
        <v>3</v>
      </c>
      <c r="N141" s="2" t="s">
        <v>6</v>
      </c>
      <c r="O141" s="2">
        <v>21</v>
      </c>
      <c r="P141" s="2">
        <f ca="1">ROUND((IF(I141="",TODAY(),I141)-H141)/365,1)</f>
        <v>0.8</v>
      </c>
      <c r="Q141" s="2" t="str">
        <f t="shared" si="2"/>
        <v>N/A</v>
      </c>
    </row>
    <row r="142" spans="1:17" x14ac:dyDescent="0.35">
      <c r="A142" s="2" t="s">
        <v>506</v>
      </c>
      <c r="B142" s="2" t="s">
        <v>270</v>
      </c>
      <c r="C142" s="2" t="s">
        <v>5</v>
      </c>
      <c r="D142" s="2" t="s">
        <v>102</v>
      </c>
      <c r="E142" s="2" t="s">
        <v>31</v>
      </c>
      <c r="F142" s="2">
        <v>46</v>
      </c>
      <c r="G142" s="2" t="s">
        <v>56</v>
      </c>
      <c r="H142" s="3" t="s">
        <v>507</v>
      </c>
      <c r="I142" s="2"/>
      <c r="J142" s="2" t="s">
        <v>8</v>
      </c>
      <c r="K142" s="2">
        <v>53124</v>
      </c>
      <c r="L142" s="2">
        <v>3</v>
      </c>
      <c r="M142" s="2">
        <v>3</v>
      </c>
      <c r="N142" s="2" t="s">
        <v>8</v>
      </c>
      <c r="O142" s="2">
        <v>29</v>
      </c>
      <c r="P142" s="2">
        <f ca="1">ROUND((IF(I142="",TODAY(),I142)-H142)/365,1)</f>
        <v>1.4</v>
      </c>
      <c r="Q142" s="2" t="str">
        <f t="shared" si="2"/>
        <v>Low</v>
      </c>
    </row>
    <row r="143" spans="1:17" x14ac:dyDescent="0.35">
      <c r="A143" s="2" t="s">
        <v>508</v>
      </c>
      <c r="B143" s="2" t="s">
        <v>509</v>
      </c>
      <c r="C143" s="2" t="s">
        <v>10</v>
      </c>
      <c r="D143" s="2" t="s">
        <v>111</v>
      </c>
      <c r="E143" s="2" t="s">
        <v>31</v>
      </c>
      <c r="F143" s="2">
        <v>50</v>
      </c>
      <c r="G143" s="2" t="s">
        <v>78</v>
      </c>
      <c r="H143" s="3" t="s">
        <v>510</v>
      </c>
      <c r="I143" s="2"/>
      <c r="J143" s="2" t="s">
        <v>8</v>
      </c>
      <c r="K143" s="2">
        <v>135824</v>
      </c>
      <c r="L143" s="2">
        <v>1</v>
      </c>
      <c r="M143" s="2">
        <v>4</v>
      </c>
      <c r="N143" s="2" t="s">
        <v>8</v>
      </c>
      <c r="O143" s="2">
        <v>44</v>
      </c>
      <c r="P143" s="2">
        <f ca="1">ROUND((IF(I143="",TODAY(),I143)-H143)/365,1)</f>
        <v>9.6999999999999993</v>
      </c>
      <c r="Q143" s="2" t="str">
        <f t="shared" si="2"/>
        <v>Low</v>
      </c>
    </row>
    <row r="144" spans="1:17" x14ac:dyDescent="0.35">
      <c r="A144" s="2" t="s">
        <v>511</v>
      </c>
      <c r="B144" s="2" t="s">
        <v>512</v>
      </c>
      <c r="C144" s="2" t="s">
        <v>12</v>
      </c>
      <c r="D144" s="2" t="s">
        <v>30</v>
      </c>
      <c r="E144" s="2" t="s">
        <v>46</v>
      </c>
      <c r="F144" s="2">
        <v>33</v>
      </c>
      <c r="G144" s="2" t="s">
        <v>32</v>
      </c>
      <c r="H144" s="3" t="s">
        <v>513</v>
      </c>
      <c r="I144" s="3" t="s">
        <v>514</v>
      </c>
      <c r="J144" s="2" t="s">
        <v>6</v>
      </c>
      <c r="K144" s="2">
        <v>128817</v>
      </c>
      <c r="L144" s="2">
        <v>1</v>
      </c>
      <c r="M144" s="2">
        <v>2</v>
      </c>
      <c r="N144" s="2" t="s">
        <v>8</v>
      </c>
      <c r="O144" s="2">
        <v>13</v>
      </c>
      <c r="P144" s="2">
        <f ca="1">ROUND((IF(I144="",TODAY(),I144)-H144)/365,1)</f>
        <v>1.5</v>
      </c>
      <c r="Q144" s="2" t="str">
        <f t="shared" si="2"/>
        <v>N/A</v>
      </c>
    </row>
    <row r="145" spans="1:17" x14ac:dyDescent="0.35">
      <c r="A145" s="2" t="s">
        <v>515</v>
      </c>
      <c r="B145" s="2" t="s">
        <v>516</v>
      </c>
      <c r="C145" s="2" t="s">
        <v>5</v>
      </c>
      <c r="D145" s="2" t="s">
        <v>207</v>
      </c>
      <c r="E145" s="2" t="s">
        <v>46</v>
      </c>
      <c r="F145" s="2">
        <v>30</v>
      </c>
      <c r="G145" s="2" t="s">
        <v>56</v>
      </c>
      <c r="H145" s="3" t="s">
        <v>517</v>
      </c>
      <c r="I145" s="2"/>
      <c r="J145" s="2" t="s">
        <v>8</v>
      </c>
      <c r="K145" s="2">
        <v>118969</v>
      </c>
      <c r="L145" s="2">
        <v>3</v>
      </c>
      <c r="M145" s="2">
        <v>1</v>
      </c>
      <c r="N145" s="2" t="s">
        <v>8</v>
      </c>
      <c r="O145" s="2">
        <v>26</v>
      </c>
      <c r="P145" s="2">
        <f ca="1">ROUND((IF(I145="",TODAY(),I145)-H145)/365,1)</f>
        <v>4.7</v>
      </c>
      <c r="Q145" s="2" t="str">
        <f t="shared" si="2"/>
        <v>Medium</v>
      </c>
    </row>
    <row r="146" spans="1:17" x14ac:dyDescent="0.35">
      <c r="A146" s="2" t="s">
        <v>518</v>
      </c>
      <c r="B146" s="2" t="s">
        <v>519</v>
      </c>
      <c r="C146" s="2" t="s">
        <v>10</v>
      </c>
      <c r="D146" s="2" t="s">
        <v>258</v>
      </c>
      <c r="E146" s="2" t="s">
        <v>31</v>
      </c>
      <c r="F146" s="2">
        <v>26</v>
      </c>
      <c r="G146" s="2" t="s">
        <v>56</v>
      </c>
      <c r="H146" s="3" t="s">
        <v>520</v>
      </c>
      <c r="I146" s="2"/>
      <c r="J146" s="2" t="s">
        <v>8</v>
      </c>
      <c r="K146" s="2">
        <v>140075</v>
      </c>
      <c r="L146" s="2">
        <v>3</v>
      </c>
      <c r="M146" s="2">
        <v>5</v>
      </c>
      <c r="N146" s="2" t="s">
        <v>8</v>
      </c>
      <c r="O146" s="2">
        <v>9</v>
      </c>
      <c r="P146" s="2">
        <f ca="1">ROUND((IF(I146="",TODAY(),I146)-H146)/365,1)</f>
        <v>6.6</v>
      </c>
      <c r="Q146" s="2" t="str">
        <f t="shared" si="2"/>
        <v>Low</v>
      </c>
    </row>
    <row r="147" spans="1:17" x14ac:dyDescent="0.35">
      <c r="A147" s="2" t="s">
        <v>521</v>
      </c>
      <c r="B147" s="2" t="s">
        <v>522</v>
      </c>
      <c r="C147" s="2" t="s">
        <v>7</v>
      </c>
      <c r="D147" s="2" t="s">
        <v>155</v>
      </c>
      <c r="E147" s="2" t="s">
        <v>46</v>
      </c>
      <c r="F147" s="2">
        <v>29</v>
      </c>
      <c r="G147" s="2" t="s">
        <v>56</v>
      </c>
      <c r="H147" s="3" t="s">
        <v>523</v>
      </c>
      <c r="I147" s="3" t="s">
        <v>524</v>
      </c>
      <c r="J147" s="2" t="s">
        <v>6</v>
      </c>
      <c r="K147" s="2">
        <v>147517</v>
      </c>
      <c r="L147" s="2">
        <v>2</v>
      </c>
      <c r="M147" s="2">
        <v>2</v>
      </c>
      <c r="N147" s="2" t="s">
        <v>6</v>
      </c>
      <c r="O147" s="2">
        <v>21</v>
      </c>
      <c r="P147" s="2">
        <f ca="1">ROUND((IF(I147="",TODAY(),I147)-H147)/365,1)</f>
        <v>3.4</v>
      </c>
      <c r="Q147" s="2" t="str">
        <f t="shared" si="2"/>
        <v>N/A</v>
      </c>
    </row>
    <row r="148" spans="1:17" x14ac:dyDescent="0.35">
      <c r="A148" s="2" t="s">
        <v>525</v>
      </c>
      <c r="B148" s="2" t="s">
        <v>526</v>
      </c>
      <c r="C148" s="2" t="s">
        <v>5</v>
      </c>
      <c r="D148" s="2" t="s">
        <v>207</v>
      </c>
      <c r="E148" s="2" t="s">
        <v>31</v>
      </c>
      <c r="F148" s="2">
        <v>30</v>
      </c>
      <c r="G148" s="2" t="s">
        <v>32</v>
      </c>
      <c r="H148" s="3" t="s">
        <v>527</v>
      </c>
      <c r="I148" s="2"/>
      <c r="J148" s="2" t="s">
        <v>8</v>
      </c>
      <c r="K148" s="2">
        <v>109015</v>
      </c>
      <c r="L148" s="2">
        <v>1</v>
      </c>
      <c r="M148" s="2">
        <v>5</v>
      </c>
      <c r="N148" s="2" t="s">
        <v>6</v>
      </c>
      <c r="O148" s="2">
        <v>33</v>
      </c>
      <c r="P148" s="2">
        <f ca="1">ROUND((IF(I148="",TODAY(),I148)-H148)/365,1)</f>
        <v>4.5999999999999996</v>
      </c>
      <c r="Q148" s="2" t="str">
        <f t="shared" si="2"/>
        <v>Medium</v>
      </c>
    </row>
    <row r="149" spans="1:17" x14ac:dyDescent="0.35">
      <c r="A149" s="2" t="s">
        <v>528</v>
      </c>
      <c r="B149" s="2" t="s">
        <v>529</v>
      </c>
      <c r="C149" s="2" t="s">
        <v>11</v>
      </c>
      <c r="D149" s="2" t="s">
        <v>45</v>
      </c>
      <c r="E149" s="2" t="s">
        <v>31</v>
      </c>
      <c r="F149" s="2">
        <v>43</v>
      </c>
      <c r="G149" s="2" t="s">
        <v>56</v>
      </c>
      <c r="H149" s="3" t="s">
        <v>530</v>
      </c>
      <c r="I149" s="2"/>
      <c r="J149" s="2" t="s">
        <v>8</v>
      </c>
      <c r="K149" s="2">
        <v>30958</v>
      </c>
      <c r="L149" s="2">
        <v>1</v>
      </c>
      <c r="M149" s="2">
        <v>1</v>
      </c>
      <c r="N149" s="2" t="s">
        <v>8</v>
      </c>
      <c r="O149" s="2">
        <v>6</v>
      </c>
      <c r="P149" s="2">
        <f ca="1">ROUND((IF(I149="",TODAY(),I149)-H149)/365,1)</f>
        <v>2.2000000000000002</v>
      </c>
      <c r="Q149" s="2" t="str">
        <f t="shared" si="2"/>
        <v>Medium</v>
      </c>
    </row>
    <row r="150" spans="1:17" x14ac:dyDescent="0.35">
      <c r="A150" s="2" t="s">
        <v>531</v>
      </c>
      <c r="B150" s="2" t="s">
        <v>532</v>
      </c>
      <c r="C150" s="2" t="s">
        <v>9</v>
      </c>
      <c r="D150" s="2" t="s">
        <v>77</v>
      </c>
      <c r="E150" s="2" t="s">
        <v>31</v>
      </c>
      <c r="F150" s="2">
        <v>23</v>
      </c>
      <c r="G150" s="2" t="s">
        <v>78</v>
      </c>
      <c r="H150" s="3" t="s">
        <v>533</v>
      </c>
      <c r="I150" s="2"/>
      <c r="J150" s="2" t="s">
        <v>8</v>
      </c>
      <c r="K150" s="2">
        <v>64596</v>
      </c>
      <c r="L150" s="2">
        <v>3</v>
      </c>
      <c r="M150" s="2">
        <v>5</v>
      </c>
      <c r="N150" s="2" t="s">
        <v>8</v>
      </c>
      <c r="O150" s="2">
        <v>42</v>
      </c>
      <c r="P150" s="2">
        <f ca="1">ROUND((IF(I150="",TODAY(),I150)-H150)/365,1)</f>
        <v>6</v>
      </c>
      <c r="Q150" s="2" t="str">
        <f t="shared" si="2"/>
        <v>Low</v>
      </c>
    </row>
    <row r="151" spans="1:17" x14ac:dyDescent="0.35">
      <c r="A151" s="2" t="s">
        <v>534</v>
      </c>
      <c r="B151" s="2" t="s">
        <v>535</v>
      </c>
      <c r="C151" s="2" t="s">
        <v>12</v>
      </c>
      <c r="D151" s="2" t="s">
        <v>133</v>
      </c>
      <c r="E151" s="2" t="s">
        <v>46</v>
      </c>
      <c r="F151" s="2">
        <v>25</v>
      </c>
      <c r="G151" s="2" t="s">
        <v>56</v>
      </c>
      <c r="H151" s="3" t="s">
        <v>74</v>
      </c>
      <c r="I151" s="3" t="s">
        <v>536</v>
      </c>
      <c r="J151" s="2" t="s">
        <v>6</v>
      </c>
      <c r="K151" s="2">
        <v>69589</v>
      </c>
      <c r="L151" s="2">
        <v>4</v>
      </c>
      <c r="M151" s="2">
        <v>4</v>
      </c>
      <c r="N151" s="2" t="s">
        <v>8</v>
      </c>
      <c r="O151" s="2">
        <v>14</v>
      </c>
      <c r="P151" s="2">
        <f ca="1">ROUND((IF(I151="",TODAY(),I151)-H151)/365,1)</f>
        <v>9.8000000000000007</v>
      </c>
      <c r="Q151" s="2" t="str">
        <f t="shared" si="2"/>
        <v>N/A</v>
      </c>
    </row>
    <row r="152" spans="1:17" x14ac:dyDescent="0.35">
      <c r="A152" s="2" t="s">
        <v>537</v>
      </c>
      <c r="B152" s="2" t="s">
        <v>538</v>
      </c>
      <c r="C152" s="2" t="s">
        <v>12</v>
      </c>
      <c r="D152" s="2" t="s">
        <v>133</v>
      </c>
      <c r="E152" s="2" t="s">
        <v>46</v>
      </c>
      <c r="F152" s="2">
        <v>45</v>
      </c>
      <c r="G152" s="2" t="s">
        <v>78</v>
      </c>
      <c r="H152" s="3" t="s">
        <v>539</v>
      </c>
      <c r="I152" s="2"/>
      <c r="J152" s="2" t="s">
        <v>8</v>
      </c>
      <c r="K152" s="2">
        <v>41059</v>
      </c>
      <c r="L152" s="2">
        <v>2</v>
      </c>
      <c r="M152" s="2">
        <v>3</v>
      </c>
      <c r="N152" s="2" t="s">
        <v>8</v>
      </c>
      <c r="O152" s="2">
        <v>30</v>
      </c>
      <c r="P152" s="2">
        <f ca="1">ROUND((IF(I152="",TODAY(),I152)-H152)/365,1)</f>
        <v>5.8</v>
      </c>
      <c r="Q152" s="2" t="str">
        <f t="shared" si="2"/>
        <v>Low</v>
      </c>
    </row>
    <row r="153" spans="1:17" x14ac:dyDescent="0.35">
      <c r="A153" s="2" t="s">
        <v>540</v>
      </c>
      <c r="B153" s="2" t="s">
        <v>541</v>
      </c>
      <c r="C153" s="2" t="s">
        <v>7</v>
      </c>
      <c r="D153" s="2" t="s">
        <v>155</v>
      </c>
      <c r="E153" s="2" t="s">
        <v>31</v>
      </c>
      <c r="F153" s="2">
        <v>48</v>
      </c>
      <c r="G153" s="2" t="s">
        <v>78</v>
      </c>
      <c r="H153" s="3" t="s">
        <v>542</v>
      </c>
      <c r="I153" s="3" t="s">
        <v>543</v>
      </c>
      <c r="J153" s="2" t="s">
        <v>6</v>
      </c>
      <c r="K153" s="2">
        <v>119519</v>
      </c>
      <c r="L153" s="2">
        <v>3</v>
      </c>
      <c r="M153" s="2">
        <v>2</v>
      </c>
      <c r="N153" s="2" t="s">
        <v>8</v>
      </c>
      <c r="O153" s="2">
        <v>37</v>
      </c>
      <c r="P153" s="2">
        <f ca="1">ROUND((IF(I153="",TODAY(),I153)-H153)/365,1)</f>
        <v>2</v>
      </c>
      <c r="Q153" s="2" t="str">
        <f t="shared" si="2"/>
        <v>N/A</v>
      </c>
    </row>
    <row r="154" spans="1:17" x14ac:dyDescent="0.35">
      <c r="A154" s="2" t="s">
        <v>544</v>
      </c>
      <c r="B154" s="2" t="s">
        <v>545</v>
      </c>
      <c r="C154" s="2" t="s">
        <v>10</v>
      </c>
      <c r="D154" s="2" t="s">
        <v>70</v>
      </c>
      <c r="E154" s="2" t="s">
        <v>46</v>
      </c>
      <c r="F154" s="2">
        <v>53</v>
      </c>
      <c r="G154" s="2" t="s">
        <v>32</v>
      </c>
      <c r="H154" s="3" t="s">
        <v>546</v>
      </c>
      <c r="I154" s="2"/>
      <c r="J154" s="2" t="s">
        <v>8</v>
      </c>
      <c r="K154" s="2">
        <v>56552</v>
      </c>
      <c r="L154" s="2">
        <v>5</v>
      </c>
      <c r="M154" s="2">
        <v>4</v>
      </c>
      <c r="N154" s="2" t="s">
        <v>6</v>
      </c>
      <c r="O154" s="2">
        <v>30</v>
      </c>
      <c r="P154" s="2">
        <f ca="1">ROUND((IF(I154="",TODAY(),I154)-H154)/365,1)</f>
        <v>11.4</v>
      </c>
      <c r="Q154" s="2" t="str">
        <f t="shared" si="2"/>
        <v>Medium</v>
      </c>
    </row>
    <row r="155" spans="1:17" x14ac:dyDescent="0.35">
      <c r="A155" s="2" t="s">
        <v>547</v>
      </c>
      <c r="B155" s="2" t="s">
        <v>548</v>
      </c>
      <c r="C155" s="2" t="s">
        <v>5</v>
      </c>
      <c r="D155" s="2" t="s">
        <v>94</v>
      </c>
      <c r="E155" s="2" t="s">
        <v>46</v>
      </c>
      <c r="F155" s="2">
        <v>52</v>
      </c>
      <c r="G155" s="2" t="s">
        <v>78</v>
      </c>
      <c r="H155" s="3" t="s">
        <v>549</v>
      </c>
      <c r="I155" s="2"/>
      <c r="J155" s="2" t="s">
        <v>8</v>
      </c>
      <c r="K155" s="2">
        <v>140665</v>
      </c>
      <c r="L155" s="2">
        <v>4</v>
      </c>
      <c r="M155" s="2">
        <v>1</v>
      </c>
      <c r="N155" s="2" t="s">
        <v>8</v>
      </c>
      <c r="O155" s="2">
        <v>9</v>
      </c>
      <c r="P155" s="2">
        <f ca="1">ROUND((IF(I155="",TODAY(),I155)-H155)/365,1)</f>
        <v>8.4</v>
      </c>
      <c r="Q155" s="2" t="str">
        <f t="shared" si="2"/>
        <v>Medium</v>
      </c>
    </row>
    <row r="156" spans="1:17" x14ac:dyDescent="0.35">
      <c r="A156" s="2" t="s">
        <v>550</v>
      </c>
      <c r="B156" s="2" t="s">
        <v>551</v>
      </c>
      <c r="C156" s="2" t="s">
        <v>10</v>
      </c>
      <c r="D156" s="2" t="s">
        <v>258</v>
      </c>
      <c r="E156" s="2" t="s">
        <v>31</v>
      </c>
      <c r="F156" s="2">
        <v>58</v>
      </c>
      <c r="G156" s="2" t="s">
        <v>56</v>
      </c>
      <c r="H156" s="3" t="s">
        <v>552</v>
      </c>
      <c r="I156" s="2"/>
      <c r="J156" s="2" t="s">
        <v>8</v>
      </c>
      <c r="K156" s="2">
        <v>75639</v>
      </c>
      <c r="L156" s="2">
        <v>3</v>
      </c>
      <c r="M156" s="2">
        <v>5</v>
      </c>
      <c r="N156" s="2" t="s">
        <v>6</v>
      </c>
      <c r="O156" s="2">
        <v>5</v>
      </c>
      <c r="P156" s="2">
        <f ca="1">ROUND((IF(I156="",TODAY(),I156)-H156)/365,1)</f>
        <v>5.3</v>
      </c>
      <c r="Q156" s="2" t="str">
        <f t="shared" si="2"/>
        <v>Medium</v>
      </c>
    </row>
    <row r="157" spans="1:17" x14ac:dyDescent="0.35">
      <c r="A157" s="2" t="s">
        <v>553</v>
      </c>
      <c r="B157" s="2" t="s">
        <v>554</v>
      </c>
      <c r="C157" s="2" t="s">
        <v>11</v>
      </c>
      <c r="D157" s="2" t="s">
        <v>66</v>
      </c>
      <c r="E157" s="2" t="s">
        <v>31</v>
      </c>
      <c r="F157" s="2">
        <v>47</v>
      </c>
      <c r="G157" s="2" t="s">
        <v>32</v>
      </c>
      <c r="H157" s="3" t="s">
        <v>555</v>
      </c>
      <c r="I157" s="2"/>
      <c r="J157" s="2" t="s">
        <v>8</v>
      </c>
      <c r="K157" s="2">
        <v>123954</v>
      </c>
      <c r="L157" s="2">
        <v>5</v>
      </c>
      <c r="M157" s="2">
        <v>3</v>
      </c>
      <c r="N157" s="2" t="s">
        <v>8</v>
      </c>
      <c r="O157" s="2">
        <v>24</v>
      </c>
      <c r="P157" s="2">
        <f ca="1">ROUND((IF(I157="",TODAY(),I157)-H157)/365,1)</f>
        <v>7.4</v>
      </c>
      <c r="Q157" s="2" t="str">
        <f t="shared" si="2"/>
        <v>Low</v>
      </c>
    </row>
    <row r="158" spans="1:17" x14ac:dyDescent="0.35">
      <c r="A158" s="2" t="s">
        <v>556</v>
      </c>
      <c r="B158" s="2" t="s">
        <v>557</v>
      </c>
      <c r="C158" s="2" t="s">
        <v>11</v>
      </c>
      <c r="D158" s="2" t="s">
        <v>66</v>
      </c>
      <c r="E158" s="2" t="s">
        <v>31</v>
      </c>
      <c r="F158" s="2">
        <v>30</v>
      </c>
      <c r="G158" s="2" t="s">
        <v>56</v>
      </c>
      <c r="H158" s="3" t="s">
        <v>558</v>
      </c>
      <c r="I158" s="2"/>
      <c r="J158" s="2" t="s">
        <v>8</v>
      </c>
      <c r="K158" s="2">
        <v>44521</v>
      </c>
      <c r="L158" s="2">
        <v>5</v>
      </c>
      <c r="M158" s="2">
        <v>4</v>
      </c>
      <c r="N158" s="2" t="s">
        <v>6</v>
      </c>
      <c r="O158" s="2">
        <v>30</v>
      </c>
      <c r="P158" s="2">
        <f ca="1">ROUND((IF(I158="",TODAY(),I158)-H158)/365,1)</f>
        <v>3.6</v>
      </c>
      <c r="Q158" s="2" t="str">
        <f t="shared" si="2"/>
        <v>Medium</v>
      </c>
    </row>
    <row r="159" spans="1:17" x14ac:dyDescent="0.35">
      <c r="A159" s="2" t="s">
        <v>559</v>
      </c>
      <c r="B159" s="2" t="s">
        <v>560</v>
      </c>
      <c r="C159" s="2" t="s">
        <v>7</v>
      </c>
      <c r="D159" s="2" t="s">
        <v>125</v>
      </c>
      <c r="E159" s="2" t="s">
        <v>46</v>
      </c>
      <c r="F159" s="2">
        <v>41</v>
      </c>
      <c r="G159" s="2" t="s">
        <v>56</v>
      </c>
      <c r="H159" s="3" t="s">
        <v>561</v>
      </c>
      <c r="I159" s="3" t="s">
        <v>562</v>
      </c>
      <c r="J159" s="2" t="s">
        <v>6</v>
      </c>
      <c r="K159" s="2">
        <v>117895</v>
      </c>
      <c r="L159" s="2">
        <v>5</v>
      </c>
      <c r="M159" s="2">
        <v>5</v>
      </c>
      <c r="N159" s="2" t="s">
        <v>6</v>
      </c>
      <c r="O159" s="2">
        <v>32</v>
      </c>
      <c r="P159" s="2">
        <f ca="1">ROUND((IF(I159="",TODAY(),I159)-H159)/365,1)</f>
        <v>4.7</v>
      </c>
      <c r="Q159" s="2" t="str">
        <f t="shared" si="2"/>
        <v>N/A</v>
      </c>
    </row>
    <row r="160" spans="1:17" x14ac:dyDescent="0.35">
      <c r="A160" s="2" t="s">
        <v>563</v>
      </c>
      <c r="B160" s="2" t="s">
        <v>564</v>
      </c>
      <c r="C160" s="2" t="s">
        <v>5</v>
      </c>
      <c r="D160" s="2" t="s">
        <v>207</v>
      </c>
      <c r="E160" s="2" t="s">
        <v>46</v>
      </c>
      <c r="F160" s="2">
        <v>41</v>
      </c>
      <c r="G160" s="2" t="s">
        <v>56</v>
      </c>
      <c r="H160" s="3" t="s">
        <v>565</v>
      </c>
      <c r="I160" s="2"/>
      <c r="J160" s="2" t="s">
        <v>8</v>
      </c>
      <c r="K160" s="2">
        <v>59803</v>
      </c>
      <c r="L160" s="2">
        <v>5</v>
      </c>
      <c r="M160" s="2">
        <v>1</v>
      </c>
      <c r="N160" s="2" t="s">
        <v>8</v>
      </c>
      <c r="O160" s="2">
        <v>31</v>
      </c>
      <c r="P160" s="2">
        <f ca="1">ROUND((IF(I160="",TODAY(),I160)-H160)/365,1)</f>
        <v>2.7</v>
      </c>
      <c r="Q160" s="2" t="str">
        <f t="shared" si="2"/>
        <v>Medium</v>
      </c>
    </row>
    <row r="161" spans="1:17" x14ac:dyDescent="0.35">
      <c r="A161" s="2" t="s">
        <v>566</v>
      </c>
      <c r="B161" s="2" t="s">
        <v>567</v>
      </c>
      <c r="C161" s="2" t="s">
        <v>11</v>
      </c>
      <c r="D161" s="2" t="s">
        <v>98</v>
      </c>
      <c r="E161" s="2" t="s">
        <v>31</v>
      </c>
      <c r="F161" s="2">
        <v>52</v>
      </c>
      <c r="G161" s="2" t="s">
        <v>56</v>
      </c>
      <c r="H161" s="3" t="s">
        <v>568</v>
      </c>
      <c r="I161" s="2"/>
      <c r="J161" s="2" t="s">
        <v>8</v>
      </c>
      <c r="K161" s="2">
        <v>132696</v>
      </c>
      <c r="L161" s="2">
        <v>4</v>
      </c>
      <c r="M161" s="2">
        <v>5</v>
      </c>
      <c r="N161" s="2" t="s">
        <v>8</v>
      </c>
      <c r="O161" s="2">
        <v>10</v>
      </c>
      <c r="P161" s="2">
        <f ca="1">ROUND((IF(I161="",TODAY(),I161)-H161)/365,1)</f>
        <v>9.6999999999999993</v>
      </c>
      <c r="Q161" s="2" t="str">
        <f t="shared" si="2"/>
        <v>Low</v>
      </c>
    </row>
    <row r="162" spans="1:17" x14ac:dyDescent="0.35">
      <c r="A162" s="2" t="s">
        <v>569</v>
      </c>
      <c r="B162" s="2" t="s">
        <v>570</v>
      </c>
      <c r="C162" s="2" t="s">
        <v>11</v>
      </c>
      <c r="D162" s="2" t="s">
        <v>98</v>
      </c>
      <c r="E162" s="2" t="s">
        <v>31</v>
      </c>
      <c r="F162" s="2">
        <v>50</v>
      </c>
      <c r="G162" s="2" t="s">
        <v>56</v>
      </c>
      <c r="H162" s="3" t="s">
        <v>571</v>
      </c>
      <c r="I162" s="2"/>
      <c r="J162" s="2" t="s">
        <v>8</v>
      </c>
      <c r="K162" s="2">
        <v>90774</v>
      </c>
      <c r="L162" s="2">
        <v>2</v>
      </c>
      <c r="M162" s="2">
        <v>4</v>
      </c>
      <c r="N162" s="2" t="s">
        <v>8</v>
      </c>
      <c r="O162" s="2">
        <v>27</v>
      </c>
      <c r="P162" s="2">
        <f ca="1">ROUND((IF(I162="",TODAY(),I162)-H162)/365,1)</f>
        <v>8.1</v>
      </c>
      <c r="Q162" s="2" t="str">
        <f t="shared" si="2"/>
        <v>Low</v>
      </c>
    </row>
    <row r="163" spans="1:17" x14ac:dyDescent="0.35">
      <c r="A163" s="2" t="s">
        <v>572</v>
      </c>
      <c r="B163" s="2" t="s">
        <v>573</v>
      </c>
      <c r="C163" s="2" t="s">
        <v>12</v>
      </c>
      <c r="D163" s="2" t="s">
        <v>55</v>
      </c>
      <c r="E163" s="2" t="s">
        <v>31</v>
      </c>
      <c r="F163" s="2">
        <v>35</v>
      </c>
      <c r="G163" s="2" t="s">
        <v>32</v>
      </c>
      <c r="H163" s="3" t="s">
        <v>574</v>
      </c>
      <c r="I163" s="2"/>
      <c r="J163" s="2" t="s">
        <v>8</v>
      </c>
      <c r="K163" s="2">
        <v>66124</v>
      </c>
      <c r="L163" s="2">
        <v>5</v>
      </c>
      <c r="M163" s="2">
        <v>4</v>
      </c>
      <c r="N163" s="2" t="s">
        <v>6</v>
      </c>
      <c r="O163" s="2">
        <v>25</v>
      </c>
      <c r="P163" s="2">
        <f ca="1">ROUND((IF(I163="",TODAY(),I163)-H163)/365,1)</f>
        <v>5.3</v>
      </c>
      <c r="Q163" s="2" t="str">
        <f t="shared" si="2"/>
        <v>Medium</v>
      </c>
    </row>
    <row r="164" spans="1:17" x14ac:dyDescent="0.35">
      <c r="A164" s="2" t="s">
        <v>575</v>
      </c>
      <c r="B164" s="2" t="s">
        <v>576</v>
      </c>
      <c r="C164" s="2" t="s">
        <v>11</v>
      </c>
      <c r="D164" s="2" t="s">
        <v>66</v>
      </c>
      <c r="E164" s="2" t="s">
        <v>46</v>
      </c>
      <c r="F164" s="2">
        <v>52</v>
      </c>
      <c r="G164" s="2" t="s">
        <v>78</v>
      </c>
      <c r="H164" s="3" t="s">
        <v>577</v>
      </c>
      <c r="I164" s="2"/>
      <c r="J164" s="2" t="s">
        <v>8</v>
      </c>
      <c r="K164" s="2">
        <v>54473</v>
      </c>
      <c r="L164" s="2">
        <v>5</v>
      </c>
      <c r="M164" s="2">
        <v>3</v>
      </c>
      <c r="N164" s="2" t="s">
        <v>8</v>
      </c>
      <c r="O164" s="2">
        <v>20</v>
      </c>
      <c r="P164" s="2">
        <f ca="1">ROUND((IF(I164="",TODAY(),I164)-H164)/365,1)</f>
        <v>9.5</v>
      </c>
      <c r="Q164" s="2" t="str">
        <f t="shared" si="2"/>
        <v>Low</v>
      </c>
    </row>
    <row r="165" spans="1:17" x14ac:dyDescent="0.35">
      <c r="A165" s="2" t="s">
        <v>578</v>
      </c>
      <c r="B165" s="2" t="s">
        <v>579</v>
      </c>
      <c r="C165" s="2" t="s">
        <v>12</v>
      </c>
      <c r="D165" s="2" t="s">
        <v>30</v>
      </c>
      <c r="E165" s="2" t="s">
        <v>46</v>
      </c>
      <c r="F165" s="2">
        <v>44</v>
      </c>
      <c r="G165" s="2" t="s">
        <v>56</v>
      </c>
      <c r="H165" s="3" t="s">
        <v>580</v>
      </c>
      <c r="I165" s="2"/>
      <c r="J165" s="2" t="s">
        <v>8</v>
      </c>
      <c r="K165" s="2">
        <v>100166</v>
      </c>
      <c r="L165" s="2">
        <v>3</v>
      </c>
      <c r="M165" s="2">
        <v>3</v>
      </c>
      <c r="N165" s="2" t="s">
        <v>8</v>
      </c>
      <c r="O165" s="2">
        <v>8</v>
      </c>
      <c r="P165" s="2">
        <f ca="1">ROUND((IF(I165="",TODAY(),I165)-H165)/365,1)</f>
        <v>5.3</v>
      </c>
      <c r="Q165" s="2" t="str">
        <f t="shared" si="2"/>
        <v>Low</v>
      </c>
    </row>
    <row r="166" spans="1:17" x14ac:dyDescent="0.35">
      <c r="A166" s="2" t="s">
        <v>581</v>
      </c>
      <c r="B166" s="2" t="s">
        <v>582</v>
      </c>
      <c r="C166" s="2" t="s">
        <v>10</v>
      </c>
      <c r="D166" s="2" t="s">
        <v>258</v>
      </c>
      <c r="E166" s="2" t="s">
        <v>31</v>
      </c>
      <c r="F166" s="2">
        <v>40</v>
      </c>
      <c r="G166" s="2" t="s">
        <v>32</v>
      </c>
      <c r="H166" s="3" t="s">
        <v>432</v>
      </c>
      <c r="I166" s="2"/>
      <c r="J166" s="2" t="s">
        <v>8</v>
      </c>
      <c r="K166" s="2">
        <v>53047</v>
      </c>
      <c r="L166" s="2">
        <v>3</v>
      </c>
      <c r="M166" s="2">
        <v>4</v>
      </c>
      <c r="N166" s="2" t="s">
        <v>6</v>
      </c>
      <c r="O166" s="2">
        <v>31</v>
      </c>
      <c r="P166" s="2">
        <f ca="1">ROUND((IF(I166="",TODAY(),I166)-H166)/365,1)</f>
        <v>3.6</v>
      </c>
      <c r="Q166" s="2" t="str">
        <f t="shared" si="2"/>
        <v>Medium</v>
      </c>
    </row>
    <row r="167" spans="1:17" x14ac:dyDescent="0.35">
      <c r="A167" s="2" t="s">
        <v>583</v>
      </c>
      <c r="B167" s="2" t="s">
        <v>584</v>
      </c>
      <c r="C167" s="2" t="s">
        <v>9</v>
      </c>
      <c r="D167" s="2" t="s">
        <v>77</v>
      </c>
      <c r="E167" s="2" t="s">
        <v>46</v>
      </c>
      <c r="F167" s="2">
        <v>37</v>
      </c>
      <c r="G167" s="2" t="s">
        <v>32</v>
      </c>
      <c r="H167" s="3" t="s">
        <v>585</v>
      </c>
      <c r="I167" s="3" t="s">
        <v>586</v>
      </c>
      <c r="J167" s="2" t="s">
        <v>6</v>
      </c>
      <c r="K167" s="2">
        <v>55518</v>
      </c>
      <c r="L167" s="2">
        <v>2</v>
      </c>
      <c r="M167" s="2">
        <v>5</v>
      </c>
      <c r="N167" s="2" t="s">
        <v>6</v>
      </c>
      <c r="O167" s="2">
        <v>41</v>
      </c>
      <c r="P167" s="2">
        <f ca="1">ROUND((IF(I167="",TODAY(),I167)-H167)/365,1)</f>
        <v>3.9</v>
      </c>
      <c r="Q167" s="2" t="str">
        <f t="shared" si="2"/>
        <v>N/A</v>
      </c>
    </row>
    <row r="168" spans="1:17" x14ac:dyDescent="0.35">
      <c r="A168" s="2" t="s">
        <v>587</v>
      </c>
      <c r="B168" s="2" t="s">
        <v>588</v>
      </c>
      <c r="C168" s="2" t="s">
        <v>12</v>
      </c>
      <c r="D168" s="2" t="s">
        <v>133</v>
      </c>
      <c r="E168" s="2" t="s">
        <v>31</v>
      </c>
      <c r="F168" s="2">
        <v>57</v>
      </c>
      <c r="G168" s="2" t="s">
        <v>78</v>
      </c>
      <c r="H168" s="3" t="s">
        <v>589</v>
      </c>
      <c r="I168" s="2"/>
      <c r="J168" s="2" t="s">
        <v>8</v>
      </c>
      <c r="K168" s="2">
        <v>51143</v>
      </c>
      <c r="L168" s="2">
        <v>4</v>
      </c>
      <c r="M168" s="2">
        <v>4</v>
      </c>
      <c r="N168" s="2" t="s">
        <v>6</v>
      </c>
      <c r="O168" s="2">
        <v>42</v>
      </c>
      <c r="P168" s="2">
        <f ca="1">ROUND((IF(I168="",TODAY(),I168)-H168)/365,1)</f>
        <v>1.2</v>
      </c>
      <c r="Q168" s="2" t="str">
        <f t="shared" si="2"/>
        <v>Medium</v>
      </c>
    </row>
    <row r="169" spans="1:17" x14ac:dyDescent="0.35">
      <c r="A169" s="2" t="s">
        <v>590</v>
      </c>
      <c r="B169" s="2" t="s">
        <v>591</v>
      </c>
      <c r="C169" s="2" t="s">
        <v>12</v>
      </c>
      <c r="D169" s="2" t="s">
        <v>30</v>
      </c>
      <c r="E169" s="2" t="s">
        <v>31</v>
      </c>
      <c r="F169" s="2">
        <v>56</v>
      </c>
      <c r="G169" s="2" t="s">
        <v>32</v>
      </c>
      <c r="H169" s="3" t="s">
        <v>592</v>
      </c>
      <c r="I169" s="2"/>
      <c r="J169" s="2" t="s">
        <v>8</v>
      </c>
      <c r="K169" s="2">
        <v>140637</v>
      </c>
      <c r="L169" s="2">
        <v>2</v>
      </c>
      <c r="M169" s="2">
        <v>1</v>
      </c>
      <c r="N169" s="2" t="s">
        <v>8</v>
      </c>
      <c r="O169" s="2">
        <v>27</v>
      </c>
      <c r="P169" s="2">
        <f ca="1">ROUND((IF(I169="",TODAY(),I169)-H169)/365,1)</f>
        <v>3.3</v>
      </c>
      <c r="Q169" s="2" t="str">
        <f t="shared" si="2"/>
        <v>Medium</v>
      </c>
    </row>
    <row r="170" spans="1:17" x14ac:dyDescent="0.35">
      <c r="A170" s="2" t="s">
        <v>593</v>
      </c>
      <c r="B170" s="2" t="s">
        <v>309</v>
      </c>
      <c r="C170" s="2" t="s">
        <v>5</v>
      </c>
      <c r="D170" s="2" t="s">
        <v>207</v>
      </c>
      <c r="E170" s="2" t="s">
        <v>46</v>
      </c>
      <c r="F170" s="2">
        <v>24</v>
      </c>
      <c r="G170" s="2" t="s">
        <v>78</v>
      </c>
      <c r="H170" s="3" t="s">
        <v>594</v>
      </c>
      <c r="I170" s="2"/>
      <c r="J170" s="2" t="s">
        <v>8</v>
      </c>
      <c r="K170" s="2">
        <v>62298</v>
      </c>
      <c r="L170" s="2">
        <v>1</v>
      </c>
      <c r="M170" s="2">
        <v>5</v>
      </c>
      <c r="N170" s="2" t="s">
        <v>6</v>
      </c>
      <c r="O170" s="2">
        <v>22</v>
      </c>
      <c r="P170" s="2">
        <f ca="1">ROUND((IF(I170="",TODAY(),I170)-H170)/365,1)</f>
        <v>11.5</v>
      </c>
      <c r="Q170" s="2" t="str">
        <f t="shared" si="2"/>
        <v>Medium</v>
      </c>
    </row>
    <row r="171" spans="1:17" x14ac:dyDescent="0.35">
      <c r="A171" s="2" t="s">
        <v>595</v>
      </c>
      <c r="B171" s="2" t="s">
        <v>596</v>
      </c>
      <c r="C171" s="2" t="s">
        <v>11</v>
      </c>
      <c r="D171" s="2" t="s">
        <v>98</v>
      </c>
      <c r="E171" s="2" t="s">
        <v>46</v>
      </c>
      <c r="F171" s="2">
        <v>51</v>
      </c>
      <c r="G171" s="2" t="s">
        <v>78</v>
      </c>
      <c r="H171" s="3" t="s">
        <v>597</v>
      </c>
      <c r="I171" s="2"/>
      <c r="J171" s="2" t="s">
        <v>8</v>
      </c>
      <c r="K171" s="2">
        <v>120829</v>
      </c>
      <c r="L171" s="2">
        <v>3</v>
      </c>
      <c r="M171" s="2">
        <v>1</v>
      </c>
      <c r="N171" s="2" t="s">
        <v>6</v>
      </c>
      <c r="O171" s="2">
        <v>11</v>
      </c>
      <c r="P171" s="2">
        <f ca="1">ROUND((IF(I171="",TODAY(),I171)-H171)/365,1)</f>
        <v>8.6</v>
      </c>
      <c r="Q171" s="2" t="str">
        <f t="shared" si="2"/>
        <v>High</v>
      </c>
    </row>
    <row r="172" spans="1:17" x14ac:dyDescent="0.35">
      <c r="A172" s="2" t="s">
        <v>598</v>
      </c>
      <c r="B172" s="2" t="s">
        <v>599</v>
      </c>
      <c r="C172" s="2" t="s">
        <v>12</v>
      </c>
      <c r="D172" s="2" t="s">
        <v>30</v>
      </c>
      <c r="E172" s="2" t="s">
        <v>31</v>
      </c>
      <c r="F172" s="2">
        <v>58</v>
      </c>
      <c r="G172" s="2" t="s">
        <v>78</v>
      </c>
      <c r="H172" s="3" t="s">
        <v>600</v>
      </c>
      <c r="I172" s="2"/>
      <c r="J172" s="2" t="s">
        <v>8</v>
      </c>
      <c r="K172" s="2">
        <v>142577</v>
      </c>
      <c r="L172" s="2">
        <v>5</v>
      </c>
      <c r="M172" s="2">
        <v>2</v>
      </c>
      <c r="N172" s="2" t="s">
        <v>8</v>
      </c>
      <c r="O172" s="2">
        <v>41</v>
      </c>
      <c r="P172" s="2">
        <f ca="1">ROUND((IF(I172="",TODAY(),I172)-H172)/365,1)</f>
        <v>4</v>
      </c>
      <c r="Q172" s="2" t="str">
        <f t="shared" si="2"/>
        <v>Medium</v>
      </c>
    </row>
    <row r="173" spans="1:17" x14ac:dyDescent="0.35">
      <c r="A173" s="2" t="s">
        <v>601</v>
      </c>
      <c r="B173" s="2" t="s">
        <v>602</v>
      </c>
      <c r="C173" s="2" t="s">
        <v>11</v>
      </c>
      <c r="D173" s="2" t="s">
        <v>66</v>
      </c>
      <c r="E173" s="2" t="s">
        <v>31</v>
      </c>
      <c r="F173" s="2">
        <v>33</v>
      </c>
      <c r="G173" s="2" t="s">
        <v>32</v>
      </c>
      <c r="H173" s="3" t="s">
        <v>603</v>
      </c>
      <c r="I173" s="2"/>
      <c r="J173" s="2" t="s">
        <v>8</v>
      </c>
      <c r="K173" s="2">
        <v>75275</v>
      </c>
      <c r="L173" s="2">
        <v>1</v>
      </c>
      <c r="M173" s="2">
        <v>2</v>
      </c>
      <c r="N173" s="2" t="s">
        <v>8</v>
      </c>
      <c r="O173" s="2">
        <v>17</v>
      </c>
      <c r="P173" s="2">
        <f ca="1">ROUND((IF(I173="",TODAY(),I173)-H173)/365,1)</f>
        <v>10</v>
      </c>
      <c r="Q173" s="2" t="str">
        <f t="shared" si="2"/>
        <v>Medium</v>
      </c>
    </row>
    <row r="174" spans="1:17" x14ac:dyDescent="0.35">
      <c r="A174" s="2" t="s">
        <v>604</v>
      </c>
      <c r="B174" s="2" t="s">
        <v>605</v>
      </c>
      <c r="C174" s="2" t="s">
        <v>9</v>
      </c>
      <c r="D174" s="2" t="s">
        <v>41</v>
      </c>
      <c r="E174" s="2" t="s">
        <v>46</v>
      </c>
      <c r="F174" s="2">
        <v>22</v>
      </c>
      <c r="G174" s="2" t="s">
        <v>78</v>
      </c>
      <c r="H174" s="3" t="s">
        <v>606</v>
      </c>
      <c r="I174" s="3" t="s">
        <v>607</v>
      </c>
      <c r="J174" s="2" t="s">
        <v>6</v>
      </c>
      <c r="K174" s="2">
        <v>40495</v>
      </c>
      <c r="L174" s="2">
        <v>1</v>
      </c>
      <c r="M174" s="2">
        <v>2</v>
      </c>
      <c r="N174" s="2" t="s">
        <v>8</v>
      </c>
      <c r="O174" s="2">
        <v>43</v>
      </c>
      <c r="P174" s="2">
        <f ca="1">ROUND((IF(I174="",TODAY(),I174)-H174)/365,1)</f>
        <v>4.7</v>
      </c>
      <c r="Q174" s="2" t="str">
        <f t="shared" si="2"/>
        <v>N/A</v>
      </c>
    </row>
    <row r="175" spans="1:17" x14ac:dyDescent="0.35">
      <c r="A175" s="2" t="s">
        <v>608</v>
      </c>
      <c r="B175" s="2" t="s">
        <v>73</v>
      </c>
      <c r="C175" s="2" t="s">
        <v>12</v>
      </c>
      <c r="D175" s="2" t="s">
        <v>55</v>
      </c>
      <c r="E175" s="2" t="s">
        <v>46</v>
      </c>
      <c r="F175" s="2">
        <v>45</v>
      </c>
      <c r="G175" s="2" t="s">
        <v>56</v>
      </c>
      <c r="H175" s="3" t="s">
        <v>609</v>
      </c>
      <c r="I175" s="2"/>
      <c r="J175" s="2" t="s">
        <v>8</v>
      </c>
      <c r="K175" s="2">
        <v>84634</v>
      </c>
      <c r="L175" s="2">
        <v>4</v>
      </c>
      <c r="M175" s="2">
        <v>2</v>
      </c>
      <c r="N175" s="2" t="s">
        <v>6</v>
      </c>
      <c r="O175" s="2">
        <v>10</v>
      </c>
      <c r="P175" s="2">
        <f ca="1">ROUND((IF(I175="",TODAY(),I175)-H175)/365,1)</f>
        <v>4.7</v>
      </c>
      <c r="Q175" s="2" t="str">
        <f t="shared" si="2"/>
        <v>High</v>
      </c>
    </row>
    <row r="176" spans="1:17" x14ac:dyDescent="0.35">
      <c r="A176" s="2" t="s">
        <v>610</v>
      </c>
      <c r="B176" s="2" t="s">
        <v>611</v>
      </c>
      <c r="C176" s="2" t="s">
        <v>9</v>
      </c>
      <c r="D176" s="2" t="s">
        <v>41</v>
      </c>
      <c r="E176" s="2" t="s">
        <v>46</v>
      </c>
      <c r="F176" s="2">
        <v>37</v>
      </c>
      <c r="G176" s="2" t="s">
        <v>56</v>
      </c>
      <c r="H176" s="3" t="s">
        <v>612</v>
      </c>
      <c r="I176" s="2"/>
      <c r="J176" s="2" t="s">
        <v>8</v>
      </c>
      <c r="K176" s="2">
        <v>94228</v>
      </c>
      <c r="L176" s="2">
        <v>5</v>
      </c>
      <c r="M176" s="2">
        <v>1</v>
      </c>
      <c r="N176" s="2" t="s">
        <v>8</v>
      </c>
      <c r="O176" s="2">
        <v>29</v>
      </c>
      <c r="P176" s="2">
        <f ca="1">ROUND((IF(I176="",TODAY(),I176)-H176)/365,1)</f>
        <v>4</v>
      </c>
      <c r="Q176" s="2" t="str">
        <f t="shared" si="2"/>
        <v>Medium</v>
      </c>
    </row>
    <row r="177" spans="1:17" x14ac:dyDescent="0.35">
      <c r="A177" s="2" t="s">
        <v>613</v>
      </c>
      <c r="B177" s="2" t="s">
        <v>614</v>
      </c>
      <c r="C177" s="2" t="s">
        <v>11</v>
      </c>
      <c r="D177" s="2" t="s">
        <v>45</v>
      </c>
      <c r="E177" s="2" t="s">
        <v>31</v>
      </c>
      <c r="F177" s="2">
        <v>34</v>
      </c>
      <c r="G177" s="2" t="s">
        <v>32</v>
      </c>
      <c r="H177" s="3" t="s">
        <v>615</v>
      </c>
      <c r="I177" s="2"/>
      <c r="J177" s="2" t="s">
        <v>8</v>
      </c>
      <c r="K177" s="2">
        <v>82912</v>
      </c>
      <c r="L177" s="2">
        <v>3</v>
      </c>
      <c r="M177" s="2">
        <v>2</v>
      </c>
      <c r="N177" s="2" t="s">
        <v>8</v>
      </c>
      <c r="O177" s="2">
        <v>34</v>
      </c>
      <c r="P177" s="2">
        <f ca="1">ROUND((IF(I177="",TODAY(),I177)-H177)/365,1)</f>
        <v>5.2</v>
      </c>
      <c r="Q177" s="2" t="str">
        <f t="shared" si="2"/>
        <v>Medium</v>
      </c>
    </row>
    <row r="178" spans="1:17" x14ac:dyDescent="0.35">
      <c r="A178" s="2" t="s">
        <v>616</v>
      </c>
      <c r="B178" s="2" t="s">
        <v>617</v>
      </c>
      <c r="C178" s="2" t="s">
        <v>12</v>
      </c>
      <c r="D178" s="2" t="s">
        <v>55</v>
      </c>
      <c r="E178" s="2" t="s">
        <v>46</v>
      </c>
      <c r="F178" s="2">
        <v>50</v>
      </c>
      <c r="G178" s="2" t="s">
        <v>56</v>
      </c>
      <c r="H178" s="3" t="s">
        <v>618</v>
      </c>
      <c r="I178" s="3" t="s">
        <v>619</v>
      </c>
      <c r="J178" s="2" t="s">
        <v>6</v>
      </c>
      <c r="K178" s="2">
        <v>84873</v>
      </c>
      <c r="L178" s="2">
        <v>5</v>
      </c>
      <c r="M178" s="2">
        <v>2</v>
      </c>
      <c r="N178" s="2" t="s">
        <v>6</v>
      </c>
      <c r="O178" s="2">
        <v>27</v>
      </c>
      <c r="P178" s="2">
        <f ca="1">ROUND((IF(I178="",TODAY(),I178)-H178)/365,1)</f>
        <v>1.5</v>
      </c>
      <c r="Q178" s="2" t="str">
        <f t="shared" si="2"/>
        <v>N/A</v>
      </c>
    </row>
    <row r="179" spans="1:17" x14ac:dyDescent="0.35">
      <c r="A179" s="2" t="s">
        <v>620</v>
      </c>
      <c r="B179" s="2" t="s">
        <v>621</v>
      </c>
      <c r="C179" s="2" t="s">
        <v>12</v>
      </c>
      <c r="D179" s="2" t="s">
        <v>133</v>
      </c>
      <c r="E179" s="2" t="s">
        <v>31</v>
      </c>
      <c r="F179" s="2">
        <v>22</v>
      </c>
      <c r="G179" s="2" t="s">
        <v>56</v>
      </c>
      <c r="H179" s="3" t="s">
        <v>622</v>
      </c>
      <c r="I179" s="3" t="s">
        <v>623</v>
      </c>
      <c r="J179" s="2" t="s">
        <v>6</v>
      </c>
      <c r="K179" s="2">
        <v>70158</v>
      </c>
      <c r="L179" s="2">
        <v>1</v>
      </c>
      <c r="M179" s="2">
        <v>1</v>
      </c>
      <c r="N179" s="2" t="s">
        <v>6</v>
      </c>
      <c r="O179" s="2">
        <v>28</v>
      </c>
      <c r="P179" s="2">
        <f ca="1">ROUND((IF(I179="",TODAY(),I179)-H179)/365,1)</f>
        <v>0.5</v>
      </c>
      <c r="Q179" s="2" t="str">
        <f t="shared" si="2"/>
        <v>N/A</v>
      </c>
    </row>
    <row r="180" spans="1:17" x14ac:dyDescent="0.35">
      <c r="A180" s="2" t="s">
        <v>624</v>
      </c>
      <c r="B180" s="2" t="s">
        <v>625</v>
      </c>
      <c r="C180" s="2" t="s">
        <v>5</v>
      </c>
      <c r="D180" s="2" t="s">
        <v>207</v>
      </c>
      <c r="E180" s="2" t="s">
        <v>31</v>
      </c>
      <c r="F180" s="2">
        <v>33</v>
      </c>
      <c r="G180" s="2" t="s">
        <v>78</v>
      </c>
      <c r="H180" s="3" t="s">
        <v>626</v>
      </c>
      <c r="I180" s="2"/>
      <c r="J180" s="2" t="s">
        <v>8</v>
      </c>
      <c r="K180" s="2">
        <v>83790</v>
      </c>
      <c r="L180" s="2">
        <v>3</v>
      </c>
      <c r="M180" s="2">
        <v>4</v>
      </c>
      <c r="N180" s="2" t="s">
        <v>6</v>
      </c>
      <c r="O180" s="2">
        <v>25</v>
      </c>
      <c r="P180" s="2">
        <f ca="1">ROUND((IF(I180="",TODAY(),I180)-H180)/365,1)</f>
        <v>3</v>
      </c>
      <c r="Q180" s="2" t="str">
        <f t="shared" si="2"/>
        <v>Medium</v>
      </c>
    </row>
    <row r="181" spans="1:17" x14ac:dyDescent="0.35">
      <c r="A181" s="2" t="s">
        <v>627</v>
      </c>
      <c r="B181" s="2" t="s">
        <v>628</v>
      </c>
      <c r="C181" s="2" t="s">
        <v>12</v>
      </c>
      <c r="D181" s="2" t="s">
        <v>55</v>
      </c>
      <c r="E181" s="2" t="s">
        <v>31</v>
      </c>
      <c r="F181" s="2">
        <v>33</v>
      </c>
      <c r="G181" s="2" t="s">
        <v>32</v>
      </c>
      <c r="H181" s="3" t="s">
        <v>629</v>
      </c>
      <c r="I181" s="2"/>
      <c r="J181" s="2" t="s">
        <v>8</v>
      </c>
      <c r="K181" s="2">
        <v>124113</v>
      </c>
      <c r="L181" s="2">
        <v>2</v>
      </c>
      <c r="M181" s="2">
        <v>2</v>
      </c>
      <c r="N181" s="2" t="s">
        <v>8</v>
      </c>
      <c r="O181" s="2">
        <v>1</v>
      </c>
      <c r="P181" s="2">
        <f ca="1">ROUND((IF(I181="",TODAY(),I181)-H181)/365,1)</f>
        <v>5.6</v>
      </c>
      <c r="Q181" s="2" t="str">
        <f t="shared" si="2"/>
        <v>Medium</v>
      </c>
    </row>
    <row r="182" spans="1:17" x14ac:dyDescent="0.35">
      <c r="A182" s="2" t="s">
        <v>630</v>
      </c>
      <c r="B182" s="2" t="s">
        <v>631</v>
      </c>
      <c r="C182" s="2" t="s">
        <v>10</v>
      </c>
      <c r="D182" s="2" t="s">
        <v>70</v>
      </c>
      <c r="E182" s="2" t="s">
        <v>46</v>
      </c>
      <c r="F182" s="2">
        <v>36</v>
      </c>
      <c r="G182" s="2" t="s">
        <v>56</v>
      </c>
      <c r="H182" s="3" t="s">
        <v>632</v>
      </c>
      <c r="I182" s="2"/>
      <c r="J182" s="2" t="s">
        <v>8</v>
      </c>
      <c r="K182" s="2">
        <v>147868</v>
      </c>
      <c r="L182" s="2">
        <v>3</v>
      </c>
      <c r="M182" s="2">
        <v>2</v>
      </c>
      <c r="N182" s="2" t="s">
        <v>8</v>
      </c>
      <c r="O182" s="2">
        <v>13</v>
      </c>
      <c r="P182" s="2">
        <f ca="1">ROUND((IF(I182="",TODAY(),I182)-H182)/365,1)</f>
        <v>8.8000000000000007</v>
      </c>
      <c r="Q182" s="2" t="str">
        <f t="shared" si="2"/>
        <v>Medium</v>
      </c>
    </row>
    <row r="183" spans="1:17" x14ac:dyDescent="0.35">
      <c r="A183" s="2" t="s">
        <v>633</v>
      </c>
      <c r="B183" s="2" t="s">
        <v>634</v>
      </c>
      <c r="C183" s="2" t="s">
        <v>5</v>
      </c>
      <c r="D183" s="2" t="s">
        <v>102</v>
      </c>
      <c r="E183" s="2" t="s">
        <v>46</v>
      </c>
      <c r="F183" s="2">
        <v>37</v>
      </c>
      <c r="G183" s="2" t="s">
        <v>56</v>
      </c>
      <c r="H183" s="3" t="s">
        <v>635</v>
      </c>
      <c r="I183" s="2"/>
      <c r="J183" s="2" t="s">
        <v>8</v>
      </c>
      <c r="K183" s="2">
        <v>103352</v>
      </c>
      <c r="L183" s="2">
        <v>1</v>
      </c>
      <c r="M183" s="2">
        <v>5</v>
      </c>
      <c r="N183" s="2" t="s">
        <v>6</v>
      </c>
      <c r="O183" s="2">
        <v>29</v>
      </c>
      <c r="P183" s="2">
        <f ca="1">ROUND((IF(I183="",TODAY(),I183)-H183)/365,1)</f>
        <v>9.3000000000000007</v>
      </c>
      <c r="Q183" s="2" t="str">
        <f t="shared" si="2"/>
        <v>Medium</v>
      </c>
    </row>
    <row r="184" spans="1:17" x14ac:dyDescent="0.35">
      <c r="A184" s="2" t="s">
        <v>636</v>
      </c>
      <c r="B184" s="2" t="s">
        <v>637</v>
      </c>
      <c r="C184" s="2" t="s">
        <v>5</v>
      </c>
      <c r="D184" s="2" t="s">
        <v>94</v>
      </c>
      <c r="E184" s="2" t="s">
        <v>31</v>
      </c>
      <c r="F184" s="2">
        <v>36</v>
      </c>
      <c r="G184" s="2" t="s">
        <v>32</v>
      </c>
      <c r="H184" s="3" t="s">
        <v>638</v>
      </c>
      <c r="I184" s="2"/>
      <c r="J184" s="2" t="s">
        <v>8</v>
      </c>
      <c r="K184" s="2">
        <v>62914</v>
      </c>
      <c r="L184" s="2">
        <v>2</v>
      </c>
      <c r="M184" s="2">
        <v>1</v>
      </c>
      <c r="N184" s="2" t="s">
        <v>6</v>
      </c>
      <c r="O184" s="2">
        <v>33</v>
      </c>
      <c r="P184" s="2">
        <f ca="1">ROUND((IF(I184="",TODAY(),I184)-H184)/365,1)</f>
        <v>5.6</v>
      </c>
      <c r="Q184" s="2" t="str">
        <f t="shared" si="2"/>
        <v>High</v>
      </c>
    </row>
    <row r="185" spans="1:17" x14ac:dyDescent="0.35">
      <c r="A185" s="2" t="s">
        <v>639</v>
      </c>
      <c r="B185" s="2" t="s">
        <v>420</v>
      </c>
      <c r="C185" s="2" t="s">
        <v>12</v>
      </c>
      <c r="D185" s="2" t="s">
        <v>55</v>
      </c>
      <c r="E185" s="2" t="s">
        <v>46</v>
      </c>
      <c r="F185" s="2">
        <v>42</v>
      </c>
      <c r="G185" s="2" t="s">
        <v>78</v>
      </c>
      <c r="H185" s="3" t="s">
        <v>640</v>
      </c>
      <c r="I185" s="3" t="s">
        <v>641</v>
      </c>
      <c r="J185" s="2" t="s">
        <v>6</v>
      </c>
      <c r="K185" s="2">
        <v>79206</v>
      </c>
      <c r="L185" s="2">
        <v>5</v>
      </c>
      <c r="M185" s="2">
        <v>2</v>
      </c>
      <c r="N185" s="2" t="s">
        <v>6</v>
      </c>
      <c r="O185" s="2">
        <v>15</v>
      </c>
      <c r="P185" s="2">
        <f ca="1">ROUND((IF(I185="",TODAY(),I185)-H185)/365,1)</f>
        <v>6.4</v>
      </c>
      <c r="Q185" s="2" t="str">
        <f t="shared" si="2"/>
        <v>N/A</v>
      </c>
    </row>
    <row r="186" spans="1:17" x14ac:dyDescent="0.35">
      <c r="A186" s="2" t="s">
        <v>642</v>
      </c>
      <c r="B186" s="2" t="s">
        <v>643</v>
      </c>
      <c r="C186" s="2" t="s">
        <v>11</v>
      </c>
      <c r="D186" s="2" t="s">
        <v>98</v>
      </c>
      <c r="E186" s="2" t="s">
        <v>31</v>
      </c>
      <c r="F186" s="2">
        <v>53</v>
      </c>
      <c r="G186" s="2" t="s">
        <v>78</v>
      </c>
      <c r="H186" s="3" t="s">
        <v>644</v>
      </c>
      <c r="I186" s="2"/>
      <c r="J186" s="2" t="s">
        <v>8</v>
      </c>
      <c r="K186" s="2">
        <v>116266</v>
      </c>
      <c r="L186" s="2">
        <v>5</v>
      </c>
      <c r="M186" s="2">
        <v>4</v>
      </c>
      <c r="N186" s="2" t="s">
        <v>8</v>
      </c>
      <c r="O186" s="2">
        <v>21</v>
      </c>
      <c r="P186" s="2">
        <f ca="1">ROUND((IF(I186="",TODAY(),I186)-H186)/365,1)</f>
        <v>11.1</v>
      </c>
      <c r="Q186" s="2" t="str">
        <f t="shared" si="2"/>
        <v>Low</v>
      </c>
    </row>
    <row r="187" spans="1:17" x14ac:dyDescent="0.35">
      <c r="A187" s="2" t="s">
        <v>645</v>
      </c>
      <c r="B187" s="2" t="s">
        <v>646</v>
      </c>
      <c r="C187" s="2" t="s">
        <v>9</v>
      </c>
      <c r="D187" s="2" t="s">
        <v>41</v>
      </c>
      <c r="E187" s="2" t="s">
        <v>31</v>
      </c>
      <c r="F187" s="2">
        <v>37</v>
      </c>
      <c r="G187" s="2" t="s">
        <v>78</v>
      </c>
      <c r="H187" s="3" t="s">
        <v>647</v>
      </c>
      <c r="I187" s="2"/>
      <c r="J187" s="2" t="s">
        <v>8</v>
      </c>
      <c r="K187" s="2">
        <v>98713</v>
      </c>
      <c r="L187" s="2">
        <v>4</v>
      </c>
      <c r="M187" s="2">
        <v>2</v>
      </c>
      <c r="N187" s="2" t="s">
        <v>6</v>
      </c>
      <c r="O187" s="2">
        <v>4</v>
      </c>
      <c r="P187" s="2">
        <f ca="1">ROUND((IF(I187="",TODAY(),I187)-H187)/365,1)</f>
        <v>2.1</v>
      </c>
      <c r="Q187" s="2" t="str">
        <f t="shared" si="2"/>
        <v>High</v>
      </c>
    </row>
    <row r="188" spans="1:17" x14ac:dyDescent="0.35">
      <c r="A188" s="2" t="s">
        <v>648</v>
      </c>
      <c r="B188" s="2" t="s">
        <v>649</v>
      </c>
      <c r="C188" s="2" t="s">
        <v>11</v>
      </c>
      <c r="D188" s="2" t="s">
        <v>98</v>
      </c>
      <c r="E188" s="2" t="s">
        <v>31</v>
      </c>
      <c r="F188" s="2">
        <v>38</v>
      </c>
      <c r="G188" s="2" t="s">
        <v>56</v>
      </c>
      <c r="H188" s="3" t="s">
        <v>650</v>
      </c>
      <c r="I188" s="2"/>
      <c r="J188" s="2" t="s">
        <v>8</v>
      </c>
      <c r="K188" s="2">
        <v>37119</v>
      </c>
      <c r="L188" s="2">
        <v>4</v>
      </c>
      <c r="M188" s="2">
        <v>1</v>
      </c>
      <c r="N188" s="2" t="s">
        <v>6</v>
      </c>
      <c r="O188" s="2">
        <v>24</v>
      </c>
      <c r="P188" s="2">
        <f ca="1">ROUND((IF(I188="",TODAY(),I188)-H188)/365,1)</f>
        <v>9.3000000000000007</v>
      </c>
      <c r="Q188" s="2" t="str">
        <f t="shared" si="2"/>
        <v>High</v>
      </c>
    </row>
    <row r="189" spans="1:17" x14ac:dyDescent="0.35">
      <c r="A189" s="2" t="s">
        <v>651</v>
      </c>
      <c r="B189" s="2" t="s">
        <v>370</v>
      </c>
      <c r="C189" s="2" t="s">
        <v>7</v>
      </c>
      <c r="D189" s="2" t="s">
        <v>155</v>
      </c>
      <c r="E189" s="2" t="s">
        <v>46</v>
      </c>
      <c r="F189" s="2">
        <v>24</v>
      </c>
      <c r="G189" s="2" t="s">
        <v>32</v>
      </c>
      <c r="H189" s="3" t="s">
        <v>652</v>
      </c>
      <c r="I189" s="2"/>
      <c r="J189" s="2" t="s">
        <v>8</v>
      </c>
      <c r="K189" s="2">
        <v>87835</v>
      </c>
      <c r="L189" s="2">
        <v>5</v>
      </c>
      <c r="M189" s="2">
        <v>5</v>
      </c>
      <c r="N189" s="2" t="s">
        <v>6</v>
      </c>
      <c r="O189" s="2">
        <v>14</v>
      </c>
      <c r="P189" s="2">
        <f ca="1">ROUND((IF(I189="",TODAY(),I189)-H189)/365,1)</f>
        <v>1.8</v>
      </c>
      <c r="Q189" s="2" t="str">
        <f t="shared" si="2"/>
        <v>Medium</v>
      </c>
    </row>
    <row r="190" spans="1:17" x14ac:dyDescent="0.35">
      <c r="A190" s="2" t="s">
        <v>653</v>
      </c>
      <c r="B190" s="2" t="s">
        <v>654</v>
      </c>
      <c r="C190" s="2" t="s">
        <v>9</v>
      </c>
      <c r="D190" s="2" t="s">
        <v>41</v>
      </c>
      <c r="E190" s="2" t="s">
        <v>31</v>
      </c>
      <c r="F190" s="2">
        <v>29</v>
      </c>
      <c r="G190" s="2" t="s">
        <v>56</v>
      </c>
      <c r="H190" s="3" t="s">
        <v>655</v>
      </c>
      <c r="I190" s="2"/>
      <c r="J190" s="2" t="s">
        <v>8</v>
      </c>
      <c r="K190" s="2">
        <v>104220</v>
      </c>
      <c r="L190" s="2">
        <v>2</v>
      </c>
      <c r="M190" s="2">
        <v>4</v>
      </c>
      <c r="N190" s="2" t="s">
        <v>8</v>
      </c>
      <c r="O190" s="2">
        <v>45</v>
      </c>
      <c r="P190" s="2">
        <f ca="1">ROUND((IF(I190="",TODAY(),I190)-H190)/365,1)</f>
        <v>3.2</v>
      </c>
      <c r="Q190" s="2" t="str">
        <f t="shared" si="2"/>
        <v>Low</v>
      </c>
    </row>
    <row r="191" spans="1:17" x14ac:dyDescent="0.35">
      <c r="A191" s="2" t="s">
        <v>656</v>
      </c>
      <c r="B191" s="2" t="s">
        <v>657</v>
      </c>
      <c r="C191" s="2" t="s">
        <v>7</v>
      </c>
      <c r="D191" s="2" t="s">
        <v>37</v>
      </c>
      <c r="E191" s="2" t="s">
        <v>46</v>
      </c>
      <c r="F191" s="2">
        <v>51</v>
      </c>
      <c r="G191" s="2" t="s">
        <v>78</v>
      </c>
      <c r="H191" s="3" t="s">
        <v>406</v>
      </c>
      <c r="I191" s="2"/>
      <c r="J191" s="2" t="s">
        <v>8</v>
      </c>
      <c r="K191" s="2">
        <v>92215</v>
      </c>
      <c r="L191" s="2">
        <v>3</v>
      </c>
      <c r="M191" s="2">
        <v>3</v>
      </c>
      <c r="N191" s="2" t="s">
        <v>8</v>
      </c>
      <c r="O191" s="2">
        <v>24</v>
      </c>
      <c r="P191" s="2">
        <f ca="1">ROUND((IF(I191="",TODAY(),I191)-H191)/365,1)</f>
        <v>5.6</v>
      </c>
      <c r="Q191" s="2" t="str">
        <f t="shared" si="2"/>
        <v>Low</v>
      </c>
    </row>
    <row r="192" spans="1:17" x14ac:dyDescent="0.35">
      <c r="A192" s="2" t="s">
        <v>658</v>
      </c>
      <c r="B192" s="2" t="s">
        <v>659</v>
      </c>
      <c r="C192" s="2" t="s">
        <v>12</v>
      </c>
      <c r="D192" s="2" t="s">
        <v>133</v>
      </c>
      <c r="E192" s="2" t="s">
        <v>46</v>
      </c>
      <c r="F192" s="2">
        <v>42</v>
      </c>
      <c r="G192" s="2" t="s">
        <v>56</v>
      </c>
      <c r="H192" s="3" t="s">
        <v>660</v>
      </c>
      <c r="I192" s="2"/>
      <c r="J192" s="2" t="s">
        <v>8</v>
      </c>
      <c r="K192" s="2">
        <v>59180</v>
      </c>
      <c r="L192" s="2">
        <v>2</v>
      </c>
      <c r="M192" s="2">
        <v>2</v>
      </c>
      <c r="N192" s="2" t="s">
        <v>6</v>
      </c>
      <c r="O192" s="2">
        <v>2</v>
      </c>
      <c r="P192" s="2">
        <f ca="1">ROUND((IF(I192="",TODAY(),I192)-H192)/365,1)</f>
        <v>7</v>
      </c>
      <c r="Q192" s="2" t="str">
        <f t="shared" si="2"/>
        <v>High</v>
      </c>
    </row>
    <row r="193" spans="1:17" x14ac:dyDescent="0.35">
      <c r="A193" s="2" t="s">
        <v>661</v>
      </c>
      <c r="B193" s="2" t="s">
        <v>662</v>
      </c>
      <c r="C193" s="2" t="s">
        <v>11</v>
      </c>
      <c r="D193" s="2" t="s">
        <v>98</v>
      </c>
      <c r="E193" s="2" t="s">
        <v>46</v>
      </c>
      <c r="F193" s="2">
        <v>34</v>
      </c>
      <c r="G193" s="2" t="s">
        <v>56</v>
      </c>
      <c r="H193" s="3" t="s">
        <v>663</v>
      </c>
      <c r="I193" s="2"/>
      <c r="J193" s="2" t="s">
        <v>8</v>
      </c>
      <c r="K193" s="2">
        <v>97173</v>
      </c>
      <c r="L193" s="2">
        <v>2</v>
      </c>
      <c r="M193" s="2">
        <v>5</v>
      </c>
      <c r="N193" s="2" t="s">
        <v>6</v>
      </c>
      <c r="O193" s="2">
        <v>32</v>
      </c>
      <c r="P193" s="2">
        <f ca="1">ROUND((IF(I193="",TODAY(),I193)-H193)/365,1)</f>
        <v>7.9</v>
      </c>
      <c r="Q193" s="2" t="str">
        <f t="shared" si="2"/>
        <v>Medium</v>
      </c>
    </row>
    <row r="194" spans="1:17" x14ac:dyDescent="0.35">
      <c r="A194" s="2" t="s">
        <v>664</v>
      </c>
      <c r="B194" s="2" t="s">
        <v>665</v>
      </c>
      <c r="C194" s="2" t="s">
        <v>9</v>
      </c>
      <c r="D194" s="2" t="s">
        <v>41</v>
      </c>
      <c r="E194" s="2" t="s">
        <v>46</v>
      </c>
      <c r="F194" s="2">
        <v>32</v>
      </c>
      <c r="G194" s="2" t="s">
        <v>32</v>
      </c>
      <c r="H194" s="3" t="s">
        <v>666</v>
      </c>
      <c r="I194" s="2"/>
      <c r="J194" s="2" t="s">
        <v>8</v>
      </c>
      <c r="K194" s="2">
        <v>89004</v>
      </c>
      <c r="L194" s="2">
        <v>2</v>
      </c>
      <c r="M194" s="2">
        <v>2</v>
      </c>
      <c r="N194" s="2" t="s">
        <v>8</v>
      </c>
      <c r="O194" s="2">
        <v>35</v>
      </c>
      <c r="P194" s="2">
        <f ca="1">ROUND((IF(I194="",TODAY(),I194)-H194)/365,1)</f>
        <v>3.4</v>
      </c>
      <c r="Q194" s="2" t="str">
        <f t="shared" ref="Q194:Q257" si="3">IF(J194="No",IF(AND(M194&lt;=2,N194="Yes"),"High",IF(OR(M194&lt;=2,N194="Yes"),"Medium","Low")),"N/A")</f>
        <v>Medium</v>
      </c>
    </row>
    <row r="195" spans="1:17" x14ac:dyDescent="0.35">
      <c r="A195" s="2" t="s">
        <v>667</v>
      </c>
      <c r="B195" s="2" t="s">
        <v>668</v>
      </c>
      <c r="C195" s="2" t="s">
        <v>11</v>
      </c>
      <c r="D195" s="2" t="s">
        <v>98</v>
      </c>
      <c r="E195" s="2" t="s">
        <v>31</v>
      </c>
      <c r="F195" s="2">
        <v>26</v>
      </c>
      <c r="G195" s="2" t="s">
        <v>56</v>
      </c>
      <c r="H195" s="3" t="s">
        <v>669</v>
      </c>
      <c r="I195" s="3" t="s">
        <v>670</v>
      </c>
      <c r="J195" s="2" t="s">
        <v>6</v>
      </c>
      <c r="K195" s="2">
        <v>135434</v>
      </c>
      <c r="L195" s="2">
        <v>4</v>
      </c>
      <c r="M195" s="2">
        <v>1</v>
      </c>
      <c r="N195" s="2" t="s">
        <v>8</v>
      </c>
      <c r="O195" s="2">
        <v>9</v>
      </c>
      <c r="P195" s="2">
        <f ca="1">ROUND((IF(I195="",TODAY(),I195)-H195)/365,1)</f>
        <v>2.1</v>
      </c>
      <c r="Q195" s="2" t="str">
        <f t="shared" si="3"/>
        <v>N/A</v>
      </c>
    </row>
    <row r="196" spans="1:17" x14ac:dyDescent="0.35">
      <c r="A196" s="2" t="s">
        <v>671</v>
      </c>
      <c r="B196" s="2" t="s">
        <v>672</v>
      </c>
      <c r="C196" s="2" t="s">
        <v>7</v>
      </c>
      <c r="D196" s="2" t="s">
        <v>155</v>
      </c>
      <c r="E196" s="2" t="s">
        <v>31</v>
      </c>
      <c r="F196" s="2">
        <v>45</v>
      </c>
      <c r="G196" s="2" t="s">
        <v>32</v>
      </c>
      <c r="H196" s="3" t="s">
        <v>673</v>
      </c>
      <c r="I196" s="3" t="s">
        <v>674</v>
      </c>
      <c r="J196" s="2" t="s">
        <v>6</v>
      </c>
      <c r="K196" s="2">
        <v>88944</v>
      </c>
      <c r="L196" s="2">
        <v>4</v>
      </c>
      <c r="M196" s="2">
        <v>5</v>
      </c>
      <c r="N196" s="2" t="s">
        <v>8</v>
      </c>
      <c r="O196" s="2">
        <v>43</v>
      </c>
      <c r="P196" s="2">
        <f ca="1">ROUND((IF(I196="",TODAY(),I196)-H196)/365,1)</f>
        <v>6.4</v>
      </c>
      <c r="Q196" s="2" t="str">
        <f t="shared" si="3"/>
        <v>N/A</v>
      </c>
    </row>
    <row r="197" spans="1:17" x14ac:dyDescent="0.35">
      <c r="A197" s="2" t="s">
        <v>675</v>
      </c>
      <c r="B197" s="2" t="s">
        <v>128</v>
      </c>
      <c r="C197" s="2" t="s">
        <v>10</v>
      </c>
      <c r="D197" s="2" t="s">
        <v>111</v>
      </c>
      <c r="E197" s="2" t="s">
        <v>31</v>
      </c>
      <c r="F197" s="2">
        <v>56</v>
      </c>
      <c r="G197" s="2" t="s">
        <v>32</v>
      </c>
      <c r="H197" s="3" t="s">
        <v>676</v>
      </c>
      <c r="I197" s="2"/>
      <c r="J197" s="2" t="s">
        <v>8</v>
      </c>
      <c r="K197" s="2">
        <v>145330</v>
      </c>
      <c r="L197" s="2">
        <v>2</v>
      </c>
      <c r="M197" s="2">
        <v>4</v>
      </c>
      <c r="N197" s="2" t="s">
        <v>6</v>
      </c>
      <c r="O197" s="2">
        <v>7</v>
      </c>
      <c r="P197" s="2">
        <f ca="1">ROUND((IF(I197="",TODAY(),I197)-H197)/365,1)</f>
        <v>8.4</v>
      </c>
      <c r="Q197" s="2" t="str">
        <f t="shared" si="3"/>
        <v>Medium</v>
      </c>
    </row>
    <row r="198" spans="1:17" x14ac:dyDescent="0.35">
      <c r="A198" s="2" t="s">
        <v>677</v>
      </c>
      <c r="B198" s="2" t="s">
        <v>678</v>
      </c>
      <c r="C198" s="2" t="s">
        <v>7</v>
      </c>
      <c r="D198" s="2" t="s">
        <v>155</v>
      </c>
      <c r="E198" s="2" t="s">
        <v>46</v>
      </c>
      <c r="F198" s="2">
        <v>47</v>
      </c>
      <c r="G198" s="2" t="s">
        <v>56</v>
      </c>
      <c r="H198" s="3" t="s">
        <v>679</v>
      </c>
      <c r="I198" s="2"/>
      <c r="J198" s="2" t="s">
        <v>8</v>
      </c>
      <c r="K198" s="2">
        <v>56877</v>
      </c>
      <c r="L198" s="2">
        <v>4</v>
      </c>
      <c r="M198" s="2">
        <v>4</v>
      </c>
      <c r="N198" s="2" t="s">
        <v>8</v>
      </c>
      <c r="O198" s="2">
        <v>37</v>
      </c>
      <c r="P198" s="2">
        <f ca="1">ROUND((IF(I198="",TODAY(),I198)-H198)/365,1)</f>
        <v>10.7</v>
      </c>
      <c r="Q198" s="2" t="str">
        <f t="shared" si="3"/>
        <v>Low</v>
      </c>
    </row>
    <row r="199" spans="1:17" x14ac:dyDescent="0.35">
      <c r="A199" s="2" t="s">
        <v>680</v>
      </c>
      <c r="B199" s="2" t="s">
        <v>681</v>
      </c>
      <c r="C199" s="2" t="s">
        <v>12</v>
      </c>
      <c r="D199" s="2" t="s">
        <v>30</v>
      </c>
      <c r="E199" s="2" t="s">
        <v>31</v>
      </c>
      <c r="F199" s="2">
        <v>46</v>
      </c>
      <c r="G199" s="2" t="s">
        <v>32</v>
      </c>
      <c r="H199" s="3" t="s">
        <v>682</v>
      </c>
      <c r="I199" s="2"/>
      <c r="J199" s="2" t="s">
        <v>8</v>
      </c>
      <c r="K199" s="2">
        <v>47463</v>
      </c>
      <c r="L199" s="2">
        <v>1</v>
      </c>
      <c r="M199" s="2">
        <v>1</v>
      </c>
      <c r="N199" s="2" t="s">
        <v>8</v>
      </c>
      <c r="O199" s="2">
        <v>45</v>
      </c>
      <c r="P199" s="2">
        <f ca="1">ROUND((IF(I199="",TODAY(),I199)-H199)/365,1)</f>
        <v>7.4</v>
      </c>
      <c r="Q199" s="2" t="str">
        <f t="shared" si="3"/>
        <v>Medium</v>
      </c>
    </row>
    <row r="200" spans="1:17" x14ac:dyDescent="0.35">
      <c r="A200" s="2" t="s">
        <v>683</v>
      </c>
      <c r="B200" s="2" t="s">
        <v>684</v>
      </c>
      <c r="C200" s="2" t="s">
        <v>10</v>
      </c>
      <c r="D200" s="2" t="s">
        <v>70</v>
      </c>
      <c r="E200" s="2" t="s">
        <v>46</v>
      </c>
      <c r="F200" s="2">
        <v>55</v>
      </c>
      <c r="G200" s="2" t="s">
        <v>32</v>
      </c>
      <c r="H200" s="3" t="s">
        <v>685</v>
      </c>
      <c r="I200" s="2"/>
      <c r="J200" s="2" t="s">
        <v>8</v>
      </c>
      <c r="K200" s="2">
        <v>60532</v>
      </c>
      <c r="L200" s="2">
        <v>5</v>
      </c>
      <c r="M200" s="2">
        <v>2</v>
      </c>
      <c r="N200" s="2" t="s">
        <v>6</v>
      </c>
      <c r="O200" s="2">
        <v>31</v>
      </c>
      <c r="P200" s="2">
        <f ca="1">ROUND((IF(I200="",TODAY(),I200)-H200)/365,1)</f>
        <v>1.3</v>
      </c>
      <c r="Q200" s="2" t="str">
        <f t="shared" si="3"/>
        <v>High</v>
      </c>
    </row>
    <row r="201" spans="1:17" x14ac:dyDescent="0.35">
      <c r="A201" s="2" t="s">
        <v>686</v>
      </c>
      <c r="B201" s="2" t="s">
        <v>687</v>
      </c>
      <c r="C201" s="2" t="s">
        <v>12</v>
      </c>
      <c r="D201" s="2" t="s">
        <v>133</v>
      </c>
      <c r="E201" s="2" t="s">
        <v>31</v>
      </c>
      <c r="F201" s="2">
        <v>23</v>
      </c>
      <c r="G201" s="2" t="s">
        <v>56</v>
      </c>
      <c r="H201" s="3" t="s">
        <v>688</v>
      </c>
      <c r="I201" s="2"/>
      <c r="J201" s="2" t="s">
        <v>8</v>
      </c>
      <c r="K201" s="2">
        <v>46292</v>
      </c>
      <c r="L201" s="2">
        <v>1</v>
      </c>
      <c r="M201" s="2">
        <v>4</v>
      </c>
      <c r="N201" s="2" t="s">
        <v>8</v>
      </c>
      <c r="O201" s="2">
        <v>20</v>
      </c>
      <c r="P201" s="2">
        <f ca="1">ROUND((IF(I201="",TODAY(),I201)-H201)/365,1)</f>
        <v>9.3000000000000007</v>
      </c>
      <c r="Q201" s="2" t="str">
        <f t="shared" si="3"/>
        <v>Low</v>
      </c>
    </row>
    <row r="202" spans="1:17" x14ac:dyDescent="0.35">
      <c r="A202" s="2" t="s">
        <v>689</v>
      </c>
      <c r="B202" s="2" t="s">
        <v>538</v>
      </c>
      <c r="C202" s="2" t="s">
        <v>10</v>
      </c>
      <c r="D202" s="2" t="s">
        <v>70</v>
      </c>
      <c r="E202" s="2" t="s">
        <v>46</v>
      </c>
      <c r="F202" s="2">
        <v>27</v>
      </c>
      <c r="G202" s="2" t="s">
        <v>32</v>
      </c>
      <c r="H202" s="3" t="s">
        <v>690</v>
      </c>
      <c r="I202" s="2"/>
      <c r="J202" s="2" t="s">
        <v>8</v>
      </c>
      <c r="K202" s="2">
        <v>82290</v>
      </c>
      <c r="L202" s="2">
        <v>1</v>
      </c>
      <c r="M202" s="2">
        <v>3</v>
      </c>
      <c r="N202" s="2" t="s">
        <v>8</v>
      </c>
      <c r="O202" s="2">
        <v>7</v>
      </c>
      <c r="P202" s="2">
        <f ca="1">ROUND((IF(I202="",TODAY(),I202)-H202)/365,1)</f>
        <v>6</v>
      </c>
      <c r="Q202" s="2" t="str">
        <f t="shared" si="3"/>
        <v>Low</v>
      </c>
    </row>
    <row r="203" spans="1:17" x14ac:dyDescent="0.35">
      <c r="A203" s="2" t="s">
        <v>691</v>
      </c>
      <c r="B203" s="2" t="s">
        <v>692</v>
      </c>
      <c r="C203" s="2" t="s">
        <v>9</v>
      </c>
      <c r="D203" s="2" t="s">
        <v>77</v>
      </c>
      <c r="E203" s="2" t="s">
        <v>46</v>
      </c>
      <c r="F203" s="2">
        <v>39</v>
      </c>
      <c r="G203" s="2" t="s">
        <v>78</v>
      </c>
      <c r="H203" s="3" t="s">
        <v>693</v>
      </c>
      <c r="I203" s="2"/>
      <c r="J203" s="2" t="s">
        <v>8</v>
      </c>
      <c r="K203" s="2">
        <v>97487</v>
      </c>
      <c r="L203" s="2">
        <v>2</v>
      </c>
      <c r="M203" s="2">
        <v>4</v>
      </c>
      <c r="N203" s="2" t="s">
        <v>8</v>
      </c>
      <c r="O203" s="2">
        <v>23</v>
      </c>
      <c r="P203" s="2">
        <f ca="1">ROUND((IF(I203="",TODAY(),I203)-H203)/365,1)</f>
        <v>2.8</v>
      </c>
      <c r="Q203" s="2" t="str">
        <f t="shared" si="3"/>
        <v>Low</v>
      </c>
    </row>
    <row r="204" spans="1:17" x14ac:dyDescent="0.35">
      <c r="A204" s="2" t="s">
        <v>694</v>
      </c>
      <c r="B204" s="2" t="s">
        <v>695</v>
      </c>
      <c r="C204" s="2" t="s">
        <v>12</v>
      </c>
      <c r="D204" s="2" t="s">
        <v>55</v>
      </c>
      <c r="E204" s="2" t="s">
        <v>46</v>
      </c>
      <c r="F204" s="2">
        <v>40</v>
      </c>
      <c r="G204" s="2" t="s">
        <v>78</v>
      </c>
      <c r="H204" s="3" t="s">
        <v>696</v>
      </c>
      <c r="I204" s="2"/>
      <c r="J204" s="2" t="s">
        <v>8</v>
      </c>
      <c r="K204" s="2">
        <v>45214</v>
      </c>
      <c r="L204" s="2">
        <v>1</v>
      </c>
      <c r="M204" s="2">
        <v>1</v>
      </c>
      <c r="N204" s="2" t="s">
        <v>6</v>
      </c>
      <c r="O204" s="2">
        <v>18</v>
      </c>
      <c r="P204" s="2">
        <f ca="1">ROUND((IF(I204="",TODAY(),I204)-H204)/365,1)</f>
        <v>2.7</v>
      </c>
      <c r="Q204" s="2" t="str">
        <f t="shared" si="3"/>
        <v>High</v>
      </c>
    </row>
    <row r="205" spans="1:17" x14ac:dyDescent="0.35">
      <c r="A205" s="2" t="s">
        <v>697</v>
      </c>
      <c r="B205" s="2" t="s">
        <v>698</v>
      </c>
      <c r="C205" s="2" t="s">
        <v>12</v>
      </c>
      <c r="D205" s="2" t="s">
        <v>30</v>
      </c>
      <c r="E205" s="2" t="s">
        <v>46</v>
      </c>
      <c r="F205" s="2">
        <v>28</v>
      </c>
      <c r="G205" s="2" t="s">
        <v>78</v>
      </c>
      <c r="H205" s="3" t="s">
        <v>699</v>
      </c>
      <c r="I205" s="3" t="s">
        <v>700</v>
      </c>
      <c r="J205" s="2" t="s">
        <v>6</v>
      </c>
      <c r="K205" s="2">
        <v>124791</v>
      </c>
      <c r="L205" s="2">
        <v>4</v>
      </c>
      <c r="M205" s="2">
        <v>3</v>
      </c>
      <c r="N205" s="2" t="s">
        <v>6</v>
      </c>
      <c r="O205" s="2">
        <v>24</v>
      </c>
      <c r="P205" s="2">
        <f ca="1">ROUND((IF(I205="",TODAY(),I205)-H205)/365,1)</f>
        <v>1.1000000000000001</v>
      </c>
      <c r="Q205" s="2" t="str">
        <f t="shared" si="3"/>
        <v>N/A</v>
      </c>
    </row>
    <row r="206" spans="1:17" x14ac:dyDescent="0.35">
      <c r="A206" s="2" t="s">
        <v>701</v>
      </c>
      <c r="B206" s="2" t="s">
        <v>702</v>
      </c>
      <c r="C206" s="2" t="s">
        <v>7</v>
      </c>
      <c r="D206" s="2" t="s">
        <v>125</v>
      </c>
      <c r="E206" s="2" t="s">
        <v>46</v>
      </c>
      <c r="F206" s="2">
        <v>54</v>
      </c>
      <c r="G206" s="2" t="s">
        <v>56</v>
      </c>
      <c r="H206" s="3" t="s">
        <v>703</v>
      </c>
      <c r="I206" s="2"/>
      <c r="J206" s="2" t="s">
        <v>8</v>
      </c>
      <c r="K206" s="2">
        <v>37198</v>
      </c>
      <c r="L206" s="2">
        <v>3</v>
      </c>
      <c r="M206" s="2">
        <v>1</v>
      </c>
      <c r="N206" s="2" t="s">
        <v>6</v>
      </c>
      <c r="O206" s="2">
        <v>36</v>
      </c>
      <c r="P206" s="2">
        <f ca="1">ROUND((IF(I206="",TODAY(),I206)-H206)/365,1)</f>
        <v>7</v>
      </c>
      <c r="Q206" s="2" t="str">
        <f t="shared" si="3"/>
        <v>High</v>
      </c>
    </row>
    <row r="207" spans="1:17" x14ac:dyDescent="0.35">
      <c r="A207" s="2" t="s">
        <v>704</v>
      </c>
      <c r="B207" s="2" t="s">
        <v>625</v>
      </c>
      <c r="C207" s="2" t="s">
        <v>9</v>
      </c>
      <c r="D207" s="2" t="s">
        <v>41</v>
      </c>
      <c r="E207" s="2" t="s">
        <v>31</v>
      </c>
      <c r="F207" s="2">
        <v>46</v>
      </c>
      <c r="G207" s="2" t="s">
        <v>32</v>
      </c>
      <c r="H207" s="3" t="s">
        <v>705</v>
      </c>
      <c r="I207" s="2"/>
      <c r="J207" s="2" t="s">
        <v>8</v>
      </c>
      <c r="K207" s="2">
        <v>93302</v>
      </c>
      <c r="L207" s="2">
        <v>2</v>
      </c>
      <c r="M207" s="2">
        <v>5</v>
      </c>
      <c r="N207" s="2" t="s">
        <v>6</v>
      </c>
      <c r="O207" s="2">
        <v>37</v>
      </c>
      <c r="P207" s="2">
        <f ca="1">ROUND((IF(I207="",TODAY(),I207)-H207)/365,1)</f>
        <v>2.9</v>
      </c>
      <c r="Q207" s="2" t="str">
        <f t="shared" si="3"/>
        <v>Medium</v>
      </c>
    </row>
    <row r="208" spans="1:17" x14ac:dyDescent="0.35">
      <c r="A208" s="2" t="s">
        <v>706</v>
      </c>
      <c r="B208" s="2" t="s">
        <v>707</v>
      </c>
      <c r="C208" s="2" t="s">
        <v>7</v>
      </c>
      <c r="D208" s="2" t="s">
        <v>155</v>
      </c>
      <c r="E208" s="2" t="s">
        <v>46</v>
      </c>
      <c r="F208" s="2">
        <v>53</v>
      </c>
      <c r="G208" s="2" t="s">
        <v>78</v>
      </c>
      <c r="H208" s="3" t="s">
        <v>708</v>
      </c>
      <c r="I208" s="2"/>
      <c r="J208" s="2" t="s">
        <v>8</v>
      </c>
      <c r="K208" s="2">
        <v>64289</v>
      </c>
      <c r="L208" s="2">
        <v>3</v>
      </c>
      <c r="M208" s="2">
        <v>4</v>
      </c>
      <c r="N208" s="2" t="s">
        <v>6</v>
      </c>
      <c r="O208" s="2">
        <v>27</v>
      </c>
      <c r="P208" s="2">
        <f ca="1">ROUND((IF(I208="",TODAY(),I208)-H208)/365,1)</f>
        <v>10</v>
      </c>
      <c r="Q208" s="2" t="str">
        <f t="shared" si="3"/>
        <v>Medium</v>
      </c>
    </row>
    <row r="209" spans="1:17" x14ac:dyDescent="0.35">
      <c r="A209" s="2" t="s">
        <v>709</v>
      </c>
      <c r="B209" s="2" t="s">
        <v>710</v>
      </c>
      <c r="C209" s="2" t="s">
        <v>9</v>
      </c>
      <c r="D209" s="2" t="s">
        <v>41</v>
      </c>
      <c r="E209" s="2" t="s">
        <v>31</v>
      </c>
      <c r="F209" s="2">
        <v>34</v>
      </c>
      <c r="G209" s="2" t="s">
        <v>56</v>
      </c>
      <c r="H209" s="3" t="s">
        <v>711</v>
      </c>
      <c r="I209" s="2"/>
      <c r="J209" s="2" t="s">
        <v>8</v>
      </c>
      <c r="K209" s="2">
        <v>68544</v>
      </c>
      <c r="L209" s="2">
        <v>1</v>
      </c>
      <c r="M209" s="2">
        <v>3</v>
      </c>
      <c r="N209" s="2" t="s">
        <v>6</v>
      </c>
      <c r="O209" s="2">
        <v>26</v>
      </c>
      <c r="P209" s="2">
        <f ca="1">ROUND((IF(I209="",TODAY(),I209)-H209)/365,1)</f>
        <v>6.5</v>
      </c>
      <c r="Q209" s="2" t="str">
        <f t="shared" si="3"/>
        <v>Medium</v>
      </c>
    </row>
    <row r="210" spans="1:17" x14ac:dyDescent="0.35">
      <c r="A210" s="2" t="s">
        <v>712</v>
      </c>
      <c r="B210" s="2" t="s">
        <v>713</v>
      </c>
      <c r="C210" s="2" t="s">
        <v>9</v>
      </c>
      <c r="D210" s="2" t="s">
        <v>41</v>
      </c>
      <c r="E210" s="2" t="s">
        <v>46</v>
      </c>
      <c r="F210" s="2">
        <v>30</v>
      </c>
      <c r="G210" s="2" t="s">
        <v>78</v>
      </c>
      <c r="H210" s="3" t="s">
        <v>714</v>
      </c>
      <c r="I210" s="2"/>
      <c r="J210" s="2" t="s">
        <v>8</v>
      </c>
      <c r="K210" s="2">
        <v>48283</v>
      </c>
      <c r="L210" s="2">
        <v>4</v>
      </c>
      <c r="M210" s="2">
        <v>2</v>
      </c>
      <c r="N210" s="2" t="s">
        <v>6</v>
      </c>
      <c r="O210" s="2">
        <v>21</v>
      </c>
      <c r="P210" s="2">
        <f ca="1">ROUND((IF(I210="",TODAY(),I210)-H210)/365,1)</f>
        <v>8.1999999999999993</v>
      </c>
      <c r="Q210" s="2" t="str">
        <f t="shared" si="3"/>
        <v>High</v>
      </c>
    </row>
    <row r="211" spans="1:17" x14ac:dyDescent="0.35">
      <c r="A211" s="2" t="s">
        <v>715</v>
      </c>
      <c r="B211" s="2" t="s">
        <v>716</v>
      </c>
      <c r="C211" s="2" t="s">
        <v>9</v>
      </c>
      <c r="D211" s="2" t="s">
        <v>77</v>
      </c>
      <c r="E211" s="2" t="s">
        <v>46</v>
      </c>
      <c r="F211" s="2">
        <v>42</v>
      </c>
      <c r="G211" s="2" t="s">
        <v>56</v>
      </c>
      <c r="H211" s="3" t="s">
        <v>717</v>
      </c>
      <c r="I211" s="3" t="s">
        <v>718</v>
      </c>
      <c r="J211" s="2" t="s">
        <v>6</v>
      </c>
      <c r="K211" s="2">
        <v>147167</v>
      </c>
      <c r="L211" s="2">
        <v>3</v>
      </c>
      <c r="M211" s="2">
        <v>4</v>
      </c>
      <c r="N211" s="2" t="s">
        <v>6</v>
      </c>
      <c r="O211" s="2">
        <v>8</v>
      </c>
      <c r="P211" s="2">
        <f ca="1">ROUND((IF(I211="",TODAY(),I211)-H211)/365,1)</f>
        <v>6.3</v>
      </c>
      <c r="Q211" s="2" t="str">
        <f t="shared" si="3"/>
        <v>N/A</v>
      </c>
    </row>
    <row r="212" spans="1:17" x14ac:dyDescent="0.35">
      <c r="A212" s="2" t="s">
        <v>719</v>
      </c>
      <c r="B212" s="2" t="s">
        <v>720</v>
      </c>
      <c r="C212" s="2" t="s">
        <v>7</v>
      </c>
      <c r="D212" s="2" t="s">
        <v>37</v>
      </c>
      <c r="E212" s="2" t="s">
        <v>31</v>
      </c>
      <c r="F212" s="2">
        <v>50</v>
      </c>
      <c r="G212" s="2" t="s">
        <v>32</v>
      </c>
      <c r="H212" s="3" t="s">
        <v>721</v>
      </c>
      <c r="I212" s="2"/>
      <c r="J212" s="2" t="s">
        <v>8</v>
      </c>
      <c r="K212" s="2">
        <v>90444</v>
      </c>
      <c r="L212" s="2">
        <v>4</v>
      </c>
      <c r="M212" s="2">
        <v>1</v>
      </c>
      <c r="N212" s="2" t="s">
        <v>6</v>
      </c>
      <c r="O212" s="2">
        <v>44</v>
      </c>
      <c r="P212" s="2">
        <f ca="1">ROUND((IF(I212="",TODAY(),I212)-H212)/365,1)</f>
        <v>2.7</v>
      </c>
      <c r="Q212" s="2" t="str">
        <f t="shared" si="3"/>
        <v>High</v>
      </c>
    </row>
    <row r="213" spans="1:17" x14ac:dyDescent="0.35">
      <c r="A213" s="2" t="s">
        <v>722</v>
      </c>
      <c r="B213" s="2" t="s">
        <v>723</v>
      </c>
      <c r="C213" s="2" t="s">
        <v>7</v>
      </c>
      <c r="D213" s="2" t="s">
        <v>125</v>
      </c>
      <c r="E213" s="2" t="s">
        <v>31</v>
      </c>
      <c r="F213" s="2">
        <v>26</v>
      </c>
      <c r="G213" s="2" t="s">
        <v>56</v>
      </c>
      <c r="H213" s="3" t="s">
        <v>724</v>
      </c>
      <c r="I213" s="2"/>
      <c r="J213" s="2" t="s">
        <v>8</v>
      </c>
      <c r="K213" s="2">
        <v>95040</v>
      </c>
      <c r="L213" s="2">
        <v>5</v>
      </c>
      <c r="M213" s="2">
        <v>4</v>
      </c>
      <c r="N213" s="2" t="s">
        <v>8</v>
      </c>
      <c r="O213" s="2">
        <v>26</v>
      </c>
      <c r="P213" s="2">
        <f ca="1">ROUND((IF(I213="",TODAY(),I213)-H213)/365,1)</f>
        <v>6.6</v>
      </c>
      <c r="Q213" s="2" t="str">
        <f t="shared" si="3"/>
        <v>Low</v>
      </c>
    </row>
    <row r="214" spans="1:17" x14ac:dyDescent="0.35">
      <c r="A214" s="2" t="s">
        <v>725</v>
      </c>
      <c r="B214" s="2" t="s">
        <v>217</v>
      </c>
      <c r="C214" s="2" t="s">
        <v>12</v>
      </c>
      <c r="D214" s="2" t="s">
        <v>133</v>
      </c>
      <c r="E214" s="2" t="s">
        <v>31</v>
      </c>
      <c r="F214" s="2">
        <v>27</v>
      </c>
      <c r="G214" s="2" t="s">
        <v>32</v>
      </c>
      <c r="H214" s="3" t="s">
        <v>726</v>
      </c>
      <c r="I214" s="2"/>
      <c r="J214" s="2" t="s">
        <v>8</v>
      </c>
      <c r="K214" s="2">
        <v>105304</v>
      </c>
      <c r="L214" s="2">
        <v>2</v>
      </c>
      <c r="M214" s="2">
        <v>3</v>
      </c>
      <c r="N214" s="2" t="s">
        <v>8</v>
      </c>
      <c r="O214" s="2">
        <v>42</v>
      </c>
      <c r="P214" s="2">
        <f ca="1">ROUND((IF(I214="",TODAY(),I214)-H214)/365,1)</f>
        <v>10.4</v>
      </c>
      <c r="Q214" s="2" t="str">
        <f t="shared" si="3"/>
        <v>Low</v>
      </c>
    </row>
    <row r="215" spans="1:17" x14ac:dyDescent="0.35">
      <c r="A215" s="2" t="s">
        <v>727</v>
      </c>
      <c r="B215" s="2" t="s">
        <v>728</v>
      </c>
      <c r="C215" s="2" t="s">
        <v>12</v>
      </c>
      <c r="D215" s="2" t="s">
        <v>55</v>
      </c>
      <c r="E215" s="2" t="s">
        <v>46</v>
      </c>
      <c r="F215" s="2">
        <v>28</v>
      </c>
      <c r="G215" s="2" t="s">
        <v>56</v>
      </c>
      <c r="H215" s="3" t="s">
        <v>729</v>
      </c>
      <c r="I215" s="2"/>
      <c r="J215" s="2" t="s">
        <v>8</v>
      </c>
      <c r="K215" s="2">
        <v>98137</v>
      </c>
      <c r="L215" s="2">
        <v>5</v>
      </c>
      <c r="M215" s="2">
        <v>2</v>
      </c>
      <c r="N215" s="2" t="s">
        <v>6</v>
      </c>
      <c r="O215" s="2">
        <v>34</v>
      </c>
      <c r="P215" s="2">
        <f ca="1">ROUND((IF(I215="",TODAY(),I215)-H215)/365,1)</f>
        <v>11.5</v>
      </c>
      <c r="Q215" s="2" t="str">
        <f t="shared" si="3"/>
        <v>High</v>
      </c>
    </row>
    <row r="216" spans="1:17" x14ac:dyDescent="0.35">
      <c r="A216" s="2" t="s">
        <v>730</v>
      </c>
      <c r="B216" s="2" t="s">
        <v>62</v>
      </c>
      <c r="C216" s="2" t="s">
        <v>7</v>
      </c>
      <c r="D216" s="2" t="s">
        <v>125</v>
      </c>
      <c r="E216" s="2" t="s">
        <v>46</v>
      </c>
      <c r="F216" s="2">
        <v>54</v>
      </c>
      <c r="G216" s="2" t="s">
        <v>78</v>
      </c>
      <c r="H216" s="3" t="s">
        <v>731</v>
      </c>
      <c r="I216" s="2"/>
      <c r="J216" s="2" t="s">
        <v>8</v>
      </c>
      <c r="K216" s="2">
        <v>63722</v>
      </c>
      <c r="L216" s="2">
        <v>4</v>
      </c>
      <c r="M216" s="2">
        <v>1</v>
      </c>
      <c r="N216" s="2" t="s">
        <v>6</v>
      </c>
      <c r="O216" s="2">
        <v>7</v>
      </c>
      <c r="P216" s="2">
        <f ca="1">ROUND((IF(I216="",TODAY(),I216)-H216)/365,1)</f>
        <v>9.9</v>
      </c>
      <c r="Q216" s="2" t="str">
        <f t="shared" si="3"/>
        <v>High</v>
      </c>
    </row>
    <row r="217" spans="1:17" x14ac:dyDescent="0.35">
      <c r="A217" s="2" t="s">
        <v>732</v>
      </c>
      <c r="B217" s="2" t="s">
        <v>733</v>
      </c>
      <c r="C217" s="2" t="s">
        <v>5</v>
      </c>
      <c r="D217" s="2" t="s">
        <v>94</v>
      </c>
      <c r="E217" s="2" t="s">
        <v>31</v>
      </c>
      <c r="F217" s="2">
        <v>43</v>
      </c>
      <c r="G217" s="2" t="s">
        <v>32</v>
      </c>
      <c r="H217" s="3" t="s">
        <v>734</v>
      </c>
      <c r="I217" s="2"/>
      <c r="J217" s="2" t="s">
        <v>8</v>
      </c>
      <c r="K217" s="2">
        <v>87411</v>
      </c>
      <c r="L217" s="2">
        <v>4</v>
      </c>
      <c r="M217" s="2">
        <v>5</v>
      </c>
      <c r="N217" s="2" t="s">
        <v>8</v>
      </c>
      <c r="O217" s="2">
        <v>23</v>
      </c>
      <c r="P217" s="2">
        <f ca="1">ROUND((IF(I217="",TODAY(),I217)-H217)/365,1)</f>
        <v>6.5</v>
      </c>
      <c r="Q217" s="2" t="str">
        <f t="shared" si="3"/>
        <v>Low</v>
      </c>
    </row>
    <row r="218" spans="1:17" x14ac:dyDescent="0.35">
      <c r="A218" s="2" t="s">
        <v>735</v>
      </c>
      <c r="B218" s="2" t="s">
        <v>736</v>
      </c>
      <c r="C218" s="2" t="s">
        <v>12</v>
      </c>
      <c r="D218" s="2" t="s">
        <v>133</v>
      </c>
      <c r="E218" s="2" t="s">
        <v>46</v>
      </c>
      <c r="F218" s="2">
        <v>24</v>
      </c>
      <c r="G218" s="2" t="s">
        <v>56</v>
      </c>
      <c r="H218" s="3" t="s">
        <v>737</v>
      </c>
      <c r="I218" s="2"/>
      <c r="J218" s="2" t="s">
        <v>8</v>
      </c>
      <c r="K218" s="2">
        <v>39334</v>
      </c>
      <c r="L218" s="2">
        <v>3</v>
      </c>
      <c r="M218" s="2">
        <v>1</v>
      </c>
      <c r="N218" s="2" t="s">
        <v>8</v>
      </c>
      <c r="O218" s="2">
        <v>42</v>
      </c>
      <c r="P218" s="2">
        <f ca="1">ROUND((IF(I218="",TODAY(),I218)-H218)/365,1)</f>
        <v>2.5</v>
      </c>
      <c r="Q218" s="2" t="str">
        <f t="shared" si="3"/>
        <v>Medium</v>
      </c>
    </row>
    <row r="219" spans="1:17" x14ac:dyDescent="0.35">
      <c r="A219" s="2" t="s">
        <v>738</v>
      </c>
      <c r="B219" s="2" t="s">
        <v>739</v>
      </c>
      <c r="C219" s="2" t="s">
        <v>12</v>
      </c>
      <c r="D219" s="2" t="s">
        <v>30</v>
      </c>
      <c r="E219" s="2" t="s">
        <v>31</v>
      </c>
      <c r="F219" s="2">
        <v>43</v>
      </c>
      <c r="G219" s="2" t="s">
        <v>32</v>
      </c>
      <c r="H219" s="3" t="s">
        <v>740</v>
      </c>
      <c r="I219" s="2"/>
      <c r="J219" s="2" t="s">
        <v>8</v>
      </c>
      <c r="K219" s="2">
        <v>107543</v>
      </c>
      <c r="L219" s="2">
        <v>2</v>
      </c>
      <c r="M219" s="2">
        <v>4</v>
      </c>
      <c r="N219" s="2" t="s">
        <v>8</v>
      </c>
      <c r="O219" s="2">
        <v>26</v>
      </c>
      <c r="P219" s="2">
        <f ca="1">ROUND((IF(I219="",TODAY(),I219)-H219)/365,1)</f>
        <v>5.3</v>
      </c>
      <c r="Q219" s="2" t="str">
        <f t="shared" si="3"/>
        <v>Low</v>
      </c>
    </row>
    <row r="220" spans="1:17" x14ac:dyDescent="0.35">
      <c r="A220" s="2" t="s">
        <v>741</v>
      </c>
      <c r="B220" s="2" t="s">
        <v>742</v>
      </c>
      <c r="C220" s="2" t="s">
        <v>12</v>
      </c>
      <c r="D220" s="2" t="s">
        <v>133</v>
      </c>
      <c r="E220" s="2" t="s">
        <v>46</v>
      </c>
      <c r="F220" s="2">
        <v>34</v>
      </c>
      <c r="G220" s="2" t="s">
        <v>78</v>
      </c>
      <c r="H220" s="3" t="s">
        <v>743</v>
      </c>
      <c r="I220" s="2"/>
      <c r="J220" s="2" t="s">
        <v>8</v>
      </c>
      <c r="K220" s="2">
        <v>51972</v>
      </c>
      <c r="L220" s="2">
        <v>1</v>
      </c>
      <c r="M220" s="2">
        <v>4</v>
      </c>
      <c r="N220" s="2" t="s">
        <v>8</v>
      </c>
      <c r="O220" s="2">
        <v>14</v>
      </c>
      <c r="P220" s="2">
        <f ca="1">ROUND((IF(I220="",TODAY(),I220)-H220)/365,1)</f>
        <v>6.6</v>
      </c>
      <c r="Q220" s="2" t="str">
        <f t="shared" si="3"/>
        <v>Low</v>
      </c>
    </row>
    <row r="221" spans="1:17" x14ac:dyDescent="0.35">
      <c r="A221" s="2" t="s">
        <v>744</v>
      </c>
      <c r="B221" s="2" t="s">
        <v>739</v>
      </c>
      <c r="C221" s="2" t="s">
        <v>5</v>
      </c>
      <c r="D221" s="2" t="s">
        <v>102</v>
      </c>
      <c r="E221" s="2" t="s">
        <v>31</v>
      </c>
      <c r="F221" s="2">
        <v>45</v>
      </c>
      <c r="G221" s="2" t="s">
        <v>78</v>
      </c>
      <c r="H221" s="3" t="s">
        <v>745</v>
      </c>
      <c r="I221" s="2"/>
      <c r="J221" s="2" t="s">
        <v>8</v>
      </c>
      <c r="K221" s="2">
        <v>138067</v>
      </c>
      <c r="L221" s="2">
        <v>3</v>
      </c>
      <c r="M221" s="2">
        <v>1</v>
      </c>
      <c r="N221" s="2" t="s">
        <v>6</v>
      </c>
      <c r="O221" s="2">
        <v>43</v>
      </c>
      <c r="P221" s="2">
        <f ca="1">ROUND((IF(I221="",TODAY(),I221)-H221)/365,1)</f>
        <v>8</v>
      </c>
      <c r="Q221" s="2" t="str">
        <f t="shared" si="3"/>
        <v>High</v>
      </c>
    </row>
    <row r="222" spans="1:17" x14ac:dyDescent="0.35">
      <c r="A222" s="2" t="s">
        <v>746</v>
      </c>
      <c r="B222" s="2" t="s">
        <v>747</v>
      </c>
      <c r="C222" s="2" t="s">
        <v>12</v>
      </c>
      <c r="D222" s="2" t="s">
        <v>133</v>
      </c>
      <c r="E222" s="2" t="s">
        <v>46</v>
      </c>
      <c r="F222" s="2">
        <v>29</v>
      </c>
      <c r="G222" s="2" t="s">
        <v>56</v>
      </c>
      <c r="H222" s="3" t="s">
        <v>748</v>
      </c>
      <c r="I222" s="2"/>
      <c r="J222" s="2" t="s">
        <v>8</v>
      </c>
      <c r="K222" s="2">
        <v>131658</v>
      </c>
      <c r="L222" s="2">
        <v>5</v>
      </c>
      <c r="M222" s="2">
        <v>4</v>
      </c>
      <c r="N222" s="2" t="s">
        <v>8</v>
      </c>
      <c r="O222" s="2">
        <v>12</v>
      </c>
      <c r="P222" s="2">
        <f ca="1">ROUND((IF(I222="",TODAY(),I222)-H222)/365,1)</f>
        <v>7.7</v>
      </c>
      <c r="Q222" s="2" t="str">
        <f t="shared" si="3"/>
        <v>Low</v>
      </c>
    </row>
    <row r="223" spans="1:17" x14ac:dyDescent="0.35">
      <c r="A223" s="2" t="s">
        <v>749</v>
      </c>
      <c r="B223" s="2" t="s">
        <v>519</v>
      </c>
      <c r="C223" s="2" t="s">
        <v>9</v>
      </c>
      <c r="D223" s="2" t="s">
        <v>77</v>
      </c>
      <c r="E223" s="2" t="s">
        <v>31</v>
      </c>
      <c r="F223" s="2">
        <v>29</v>
      </c>
      <c r="G223" s="2" t="s">
        <v>56</v>
      </c>
      <c r="H223" s="3" t="s">
        <v>750</v>
      </c>
      <c r="I223" s="3" t="s">
        <v>751</v>
      </c>
      <c r="J223" s="2" t="s">
        <v>6</v>
      </c>
      <c r="K223" s="2">
        <v>43528</v>
      </c>
      <c r="L223" s="2">
        <v>3</v>
      </c>
      <c r="M223" s="2">
        <v>2</v>
      </c>
      <c r="N223" s="2" t="s">
        <v>6</v>
      </c>
      <c r="O223" s="2">
        <v>45</v>
      </c>
      <c r="P223" s="2">
        <f ca="1">ROUND((IF(I223="",TODAY(),I223)-H223)/365,1)</f>
        <v>6.9</v>
      </c>
      <c r="Q223" s="2" t="str">
        <f t="shared" si="3"/>
        <v>N/A</v>
      </c>
    </row>
    <row r="224" spans="1:17" x14ac:dyDescent="0.35">
      <c r="A224" s="2" t="s">
        <v>752</v>
      </c>
      <c r="B224" s="2" t="s">
        <v>753</v>
      </c>
      <c r="C224" s="2" t="s">
        <v>7</v>
      </c>
      <c r="D224" s="2" t="s">
        <v>37</v>
      </c>
      <c r="E224" s="2" t="s">
        <v>46</v>
      </c>
      <c r="F224" s="2">
        <v>53</v>
      </c>
      <c r="G224" s="2" t="s">
        <v>78</v>
      </c>
      <c r="H224" s="3" t="s">
        <v>754</v>
      </c>
      <c r="I224" s="3" t="s">
        <v>755</v>
      </c>
      <c r="J224" s="2" t="s">
        <v>6</v>
      </c>
      <c r="K224" s="2">
        <v>89178</v>
      </c>
      <c r="L224" s="2">
        <v>5</v>
      </c>
      <c r="M224" s="2">
        <v>2</v>
      </c>
      <c r="N224" s="2" t="s">
        <v>8</v>
      </c>
      <c r="O224" s="2">
        <v>11</v>
      </c>
      <c r="P224" s="2">
        <f ca="1">ROUND((IF(I224="",TODAY(),I224)-H224)/365,1)</f>
        <v>1.9</v>
      </c>
      <c r="Q224" s="2" t="str">
        <f t="shared" si="3"/>
        <v>N/A</v>
      </c>
    </row>
    <row r="225" spans="1:17" x14ac:dyDescent="0.35">
      <c r="A225" s="2" t="s">
        <v>756</v>
      </c>
      <c r="B225" s="2" t="s">
        <v>757</v>
      </c>
      <c r="C225" s="2" t="s">
        <v>10</v>
      </c>
      <c r="D225" s="2" t="s">
        <v>70</v>
      </c>
      <c r="E225" s="2" t="s">
        <v>31</v>
      </c>
      <c r="F225" s="2">
        <v>53</v>
      </c>
      <c r="G225" s="2" t="s">
        <v>78</v>
      </c>
      <c r="H225" s="3" t="s">
        <v>758</v>
      </c>
      <c r="I225" s="2"/>
      <c r="J225" s="2" t="s">
        <v>8</v>
      </c>
      <c r="K225" s="2">
        <v>110599</v>
      </c>
      <c r="L225" s="2">
        <v>5</v>
      </c>
      <c r="M225" s="2">
        <v>4</v>
      </c>
      <c r="N225" s="2" t="s">
        <v>6</v>
      </c>
      <c r="O225" s="2">
        <v>33</v>
      </c>
      <c r="P225" s="2">
        <f ca="1">ROUND((IF(I225="",TODAY(),I225)-H225)/365,1)</f>
        <v>10.1</v>
      </c>
      <c r="Q225" s="2" t="str">
        <f t="shared" si="3"/>
        <v>Medium</v>
      </c>
    </row>
    <row r="226" spans="1:17" x14ac:dyDescent="0.35">
      <c r="A226" s="2" t="s">
        <v>759</v>
      </c>
      <c r="B226" s="2" t="s">
        <v>760</v>
      </c>
      <c r="C226" s="2" t="s">
        <v>10</v>
      </c>
      <c r="D226" s="2" t="s">
        <v>258</v>
      </c>
      <c r="E226" s="2" t="s">
        <v>46</v>
      </c>
      <c r="F226" s="2">
        <v>27</v>
      </c>
      <c r="G226" s="2" t="s">
        <v>32</v>
      </c>
      <c r="H226" s="3" t="s">
        <v>761</v>
      </c>
      <c r="I226" s="2"/>
      <c r="J226" s="2" t="s">
        <v>8</v>
      </c>
      <c r="K226" s="2">
        <v>61025</v>
      </c>
      <c r="L226" s="2">
        <v>3</v>
      </c>
      <c r="M226" s="2">
        <v>2</v>
      </c>
      <c r="N226" s="2" t="s">
        <v>6</v>
      </c>
      <c r="O226" s="2">
        <v>3</v>
      </c>
      <c r="P226" s="2">
        <f ca="1">ROUND((IF(I226="",TODAY(),I226)-H226)/365,1)</f>
        <v>5.3</v>
      </c>
      <c r="Q226" s="2" t="str">
        <f t="shared" si="3"/>
        <v>High</v>
      </c>
    </row>
    <row r="227" spans="1:17" x14ac:dyDescent="0.35">
      <c r="A227" s="2" t="s">
        <v>762</v>
      </c>
      <c r="B227" s="2" t="s">
        <v>763</v>
      </c>
      <c r="C227" s="2" t="s">
        <v>7</v>
      </c>
      <c r="D227" s="2" t="s">
        <v>125</v>
      </c>
      <c r="E227" s="2" t="s">
        <v>46</v>
      </c>
      <c r="F227" s="2">
        <v>29</v>
      </c>
      <c r="G227" s="2" t="s">
        <v>32</v>
      </c>
      <c r="H227" s="3" t="s">
        <v>615</v>
      </c>
      <c r="I227" s="2"/>
      <c r="J227" s="2" t="s">
        <v>8</v>
      </c>
      <c r="K227" s="2">
        <v>132821</v>
      </c>
      <c r="L227" s="2">
        <v>3</v>
      </c>
      <c r="M227" s="2">
        <v>5</v>
      </c>
      <c r="N227" s="2" t="s">
        <v>6</v>
      </c>
      <c r="O227" s="2">
        <v>35</v>
      </c>
      <c r="P227" s="2">
        <f ca="1">ROUND((IF(I227="",TODAY(),I227)-H227)/365,1)</f>
        <v>5.2</v>
      </c>
      <c r="Q227" s="2" t="str">
        <f t="shared" si="3"/>
        <v>Medium</v>
      </c>
    </row>
    <row r="228" spans="1:17" x14ac:dyDescent="0.35">
      <c r="A228" s="2" t="s">
        <v>764</v>
      </c>
      <c r="B228" s="2" t="s">
        <v>261</v>
      </c>
      <c r="C228" s="2" t="s">
        <v>10</v>
      </c>
      <c r="D228" s="2" t="s">
        <v>70</v>
      </c>
      <c r="E228" s="2" t="s">
        <v>31</v>
      </c>
      <c r="F228" s="2">
        <v>37</v>
      </c>
      <c r="G228" s="2" t="s">
        <v>32</v>
      </c>
      <c r="H228" s="3" t="s">
        <v>765</v>
      </c>
      <c r="I228" s="2"/>
      <c r="J228" s="2" t="s">
        <v>8</v>
      </c>
      <c r="K228" s="2">
        <v>70688</v>
      </c>
      <c r="L228" s="2">
        <v>4</v>
      </c>
      <c r="M228" s="2">
        <v>1</v>
      </c>
      <c r="N228" s="2" t="s">
        <v>8</v>
      </c>
      <c r="O228" s="2">
        <v>17</v>
      </c>
      <c r="P228" s="2">
        <f ca="1">ROUND((IF(I228="",TODAY(),I228)-H228)/365,1)</f>
        <v>8.3000000000000007</v>
      </c>
      <c r="Q228" s="2" t="str">
        <f t="shared" si="3"/>
        <v>Medium</v>
      </c>
    </row>
    <row r="229" spans="1:17" x14ac:dyDescent="0.35">
      <c r="A229" s="2" t="s">
        <v>766</v>
      </c>
      <c r="B229" s="2" t="s">
        <v>767</v>
      </c>
      <c r="C229" s="2" t="s">
        <v>5</v>
      </c>
      <c r="D229" s="2" t="s">
        <v>94</v>
      </c>
      <c r="E229" s="2" t="s">
        <v>31</v>
      </c>
      <c r="F229" s="2">
        <v>49</v>
      </c>
      <c r="G229" s="2" t="s">
        <v>78</v>
      </c>
      <c r="H229" s="3" t="s">
        <v>768</v>
      </c>
      <c r="I229" s="2"/>
      <c r="J229" s="2" t="s">
        <v>8</v>
      </c>
      <c r="K229" s="2">
        <v>99720</v>
      </c>
      <c r="L229" s="2">
        <v>2</v>
      </c>
      <c r="M229" s="2">
        <v>2</v>
      </c>
      <c r="N229" s="2" t="s">
        <v>8</v>
      </c>
      <c r="O229" s="2">
        <v>4</v>
      </c>
      <c r="P229" s="2">
        <f ca="1">ROUND((IF(I229="",TODAY(),I229)-H229)/365,1)</f>
        <v>9.8000000000000007</v>
      </c>
      <c r="Q229" s="2" t="str">
        <f t="shared" si="3"/>
        <v>Medium</v>
      </c>
    </row>
    <row r="230" spans="1:17" x14ac:dyDescent="0.35">
      <c r="A230" s="2" t="s">
        <v>769</v>
      </c>
      <c r="B230" s="2" t="s">
        <v>599</v>
      </c>
      <c r="C230" s="2" t="s">
        <v>11</v>
      </c>
      <c r="D230" s="2" t="s">
        <v>98</v>
      </c>
      <c r="E230" s="2" t="s">
        <v>31</v>
      </c>
      <c r="F230" s="2">
        <v>40</v>
      </c>
      <c r="G230" s="2" t="s">
        <v>78</v>
      </c>
      <c r="H230" s="3" t="s">
        <v>615</v>
      </c>
      <c r="I230" s="2"/>
      <c r="J230" s="2" t="s">
        <v>8</v>
      </c>
      <c r="K230" s="2">
        <v>123316</v>
      </c>
      <c r="L230" s="2">
        <v>1</v>
      </c>
      <c r="M230" s="2">
        <v>5</v>
      </c>
      <c r="N230" s="2" t="s">
        <v>6</v>
      </c>
      <c r="O230" s="2">
        <v>9</v>
      </c>
      <c r="P230" s="2">
        <f ca="1">ROUND((IF(I230="",TODAY(),I230)-H230)/365,1)</f>
        <v>5.2</v>
      </c>
      <c r="Q230" s="2" t="str">
        <f t="shared" si="3"/>
        <v>Medium</v>
      </c>
    </row>
    <row r="231" spans="1:17" x14ac:dyDescent="0.35">
      <c r="A231" s="2" t="s">
        <v>770</v>
      </c>
      <c r="B231" s="2" t="s">
        <v>771</v>
      </c>
      <c r="C231" s="2" t="s">
        <v>9</v>
      </c>
      <c r="D231" s="2" t="s">
        <v>77</v>
      </c>
      <c r="E231" s="2" t="s">
        <v>31</v>
      </c>
      <c r="F231" s="2">
        <v>31</v>
      </c>
      <c r="G231" s="2" t="s">
        <v>56</v>
      </c>
      <c r="H231" s="3" t="s">
        <v>772</v>
      </c>
      <c r="I231" s="2"/>
      <c r="J231" s="2" t="s">
        <v>8</v>
      </c>
      <c r="K231" s="2">
        <v>43634</v>
      </c>
      <c r="L231" s="2">
        <v>4</v>
      </c>
      <c r="M231" s="2">
        <v>2</v>
      </c>
      <c r="N231" s="2" t="s">
        <v>6</v>
      </c>
      <c r="O231" s="2">
        <v>32</v>
      </c>
      <c r="P231" s="2">
        <f ca="1">ROUND((IF(I231="",TODAY(),I231)-H231)/365,1)</f>
        <v>3.6</v>
      </c>
      <c r="Q231" s="2" t="str">
        <f t="shared" si="3"/>
        <v>High</v>
      </c>
    </row>
    <row r="232" spans="1:17" x14ac:dyDescent="0.35">
      <c r="A232" s="2" t="s">
        <v>773</v>
      </c>
      <c r="B232" s="2" t="s">
        <v>535</v>
      </c>
      <c r="C232" s="2" t="s">
        <v>12</v>
      </c>
      <c r="D232" s="2" t="s">
        <v>133</v>
      </c>
      <c r="E232" s="2" t="s">
        <v>46</v>
      </c>
      <c r="F232" s="2">
        <v>27</v>
      </c>
      <c r="G232" s="2" t="s">
        <v>78</v>
      </c>
      <c r="H232" s="3" t="s">
        <v>774</v>
      </c>
      <c r="I232" s="2"/>
      <c r="J232" s="2" t="s">
        <v>8</v>
      </c>
      <c r="K232" s="2">
        <v>149551</v>
      </c>
      <c r="L232" s="2">
        <v>3</v>
      </c>
      <c r="M232" s="2">
        <v>3</v>
      </c>
      <c r="N232" s="2" t="s">
        <v>8</v>
      </c>
      <c r="O232" s="2">
        <v>30</v>
      </c>
      <c r="P232" s="2">
        <f ca="1">ROUND((IF(I232="",TODAY(),I232)-H232)/365,1)</f>
        <v>7.1</v>
      </c>
      <c r="Q232" s="2" t="str">
        <f t="shared" si="3"/>
        <v>Low</v>
      </c>
    </row>
    <row r="233" spans="1:17" x14ac:dyDescent="0.35">
      <c r="A233" s="2" t="s">
        <v>775</v>
      </c>
      <c r="B233" s="2" t="s">
        <v>776</v>
      </c>
      <c r="C233" s="2" t="s">
        <v>5</v>
      </c>
      <c r="D233" s="2" t="s">
        <v>102</v>
      </c>
      <c r="E233" s="2" t="s">
        <v>31</v>
      </c>
      <c r="F233" s="2">
        <v>26</v>
      </c>
      <c r="G233" s="2" t="s">
        <v>78</v>
      </c>
      <c r="H233" s="3" t="s">
        <v>777</v>
      </c>
      <c r="I233" s="3" t="s">
        <v>778</v>
      </c>
      <c r="J233" s="2" t="s">
        <v>6</v>
      </c>
      <c r="K233" s="2">
        <v>89843</v>
      </c>
      <c r="L233" s="2">
        <v>4</v>
      </c>
      <c r="M233" s="2">
        <v>2</v>
      </c>
      <c r="N233" s="2" t="s">
        <v>8</v>
      </c>
      <c r="O233" s="2">
        <v>14</v>
      </c>
      <c r="P233" s="2">
        <f ca="1">ROUND((IF(I233="",TODAY(),I233)-H233)/365,1)</f>
        <v>1</v>
      </c>
      <c r="Q233" s="2" t="str">
        <f t="shared" si="3"/>
        <v>N/A</v>
      </c>
    </row>
    <row r="234" spans="1:17" x14ac:dyDescent="0.35">
      <c r="A234" s="2" t="s">
        <v>779</v>
      </c>
      <c r="B234" s="2" t="s">
        <v>780</v>
      </c>
      <c r="C234" s="2" t="s">
        <v>9</v>
      </c>
      <c r="D234" s="2" t="s">
        <v>77</v>
      </c>
      <c r="E234" s="2" t="s">
        <v>31</v>
      </c>
      <c r="F234" s="2">
        <v>43</v>
      </c>
      <c r="G234" s="2" t="s">
        <v>78</v>
      </c>
      <c r="H234" s="3" t="s">
        <v>781</v>
      </c>
      <c r="I234" s="3" t="s">
        <v>782</v>
      </c>
      <c r="J234" s="2" t="s">
        <v>6</v>
      </c>
      <c r="K234" s="2">
        <v>107074</v>
      </c>
      <c r="L234" s="2">
        <v>1</v>
      </c>
      <c r="M234" s="2">
        <v>1</v>
      </c>
      <c r="N234" s="2" t="s">
        <v>8</v>
      </c>
      <c r="O234" s="2">
        <v>7</v>
      </c>
      <c r="P234" s="2">
        <f ca="1">ROUND((IF(I234="",TODAY(),I234)-H234)/365,1)</f>
        <v>0.6</v>
      </c>
      <c r="Q234" s="2" t="str">
        <f t="shared" si="3"/>
        <v>N/A</v>
      </c>
    </row>
    <row r="235" spans="1:17" x14ac:dyDescent="0.35">
      <c r="A235" s="2" t="s">
        <v>783</v>
      </c>
      <c r="B235" s="2" t="s">
        <v>784</v>
      </c>
      <c r="C235" s="2" t="s">
        <v>10</v>
      </c>
      <c r="D235" s="2" t="s">
        <v>258</v>
      </c>
      <c r="E235" s="2" t="s">
        <v>31</v>
      </c>
      <c r="F235" s="2">
        <v>30</v>
      </c>
      <c r="G235" s="2" t="s">
        <v>78</v>
      </c>
      <c r="H235" s="3" t="s">
        <v>785</v>
      </c>
      <c r="I235" s="3" t="s">
        <v>786</v>
      </c>
      <c r="J235" s="2" t="s">
        <v>6</v>
      </c>
      <c r="K235" s="2">
        <v>110798</v>
      </c>
      <c r="L235" s="2">
        <v>3</v>
      </c>
      <c r="M235" s="2">
        <v>2</v>
      </c>
      <c r="N235" s="2" t="s">
        <v>8</v>
      </c>
      <c r="O235" s="2">
        <v>6</v>
      </c>
      <c r="P235" s="2">
        <f ca="1">ROUND((IF(I235="",TODAY(),I235)-H235)/365,1)</f>
        <v>1.2</v>
      </c>
      <c r="Q235" s="2" t="str">
        <f t="shared" si="3"/>
        <v>N/A</v>
      </c>
    </row>
    <row r="236" spans="1:17" x14ac:dyDescent="0.35">
      <c r="A236" s="2" t="s">
        <v>787</v>
      </c>
      <c r="B236" s="2" t="s">
        <v>101</v>
      </c>
      <c r="C236" s="2" t="s">
        <v>12</v>
      </c>
      <c r="D236" s="2" t="s">
        <v>55</v>
      </c>
      <c r="E236" s="2" t="s">
        <v>31</v>
      </c>
      <c r="F236" s="2">
        <v>41</v>
      </c>
      <c r="G236" s="2" t="s">
        <v>56</v>
      </c>
      <c r="H236" s="3" t="s">
        <v>788</v>
      </c>
      <c r="I236" s="3" t="s">
        <v>789</v>
      </c>
      <c r="J236" s="2" t="s">
        <v>6</v>
      </c>
      <c r="K236" s="2">
        <v>36953</v>
      </c>
      <c r="L236" s="2">
        <v>4</v>
      </c>
      <c r="M236" s="2">
        <v>2</v>
      </c>
      <c r="N236" s="2" t="s">
        <v>8</v>
      </c>
      <c r="O236" s="2">
        <v>42</v>
      </c>
      <c r="P236" s="2">
        <f ca="1">ROUND((IF(I236="",TODAY(),I236)-H236)/365,1)</f>
        <v>1.4</v>
      </c>
      <c r="Q236" s="2" t="str">
        <f t="shared" si="3"/>
        <v>N/A</v>
      </c>
    </row>
    <row r="237" spans="1:17" x14ac:dyDescent="0.35">
      <c r="A237" s="2" t="s">
        <v>790</v>
      </c>
      <c r="B237" s="2" t="s">
        <v>591</v>
      </c>
      <c r="C237" s="2" t="s">
        <v>10</v>
      </c>
      <c r="D237" s="2" t="s">
        <v>111</v>
      </c>
      <c r="E237" s="2" t="s">
        <v>31</v>
      </c>
      <c r="F237" s="2">
        <v>55</v>
      </c>
      <c r="G237" s="2" t="s">
        <v>78</v>
      </c>
      <c r="H237" s="3" t="s">
        <v>791</v>
      </c>
      <c r="I237" s="2"/>
      <c r="J237" s="2" t="s">
        <v>8</v>
      </c>
      <c r="K237" s="2">
        <v>137766</v>
      </c>
      <c r="L237" s="2">
        <v>3</v>
      </c>
      <c r="M237" s="2">
        <v>1</v>
      </c>
      <c r="N237" s="2" t="s">
        <v>8</v>
      </c>
      <c r="O237" s="2">
        <v>8</v>
      </c>
      <c r="P237" s="2">
        <f ca="1">ROUND((IF(I237="",TODAY(),I237)-H237)/365,1)</f>
        <v>4</v>
      </c>
      <c r="Q237" s="2" t="str">
        <f t="shared" si="3"/>
        <v>Medium</v>
      </c>
    </row>
    <row r="238" spans="1:17" x14ac:dyDescent="0.35">
      <c r="A238" s="2" t="s">
        <v>792</v>
      </c>
      <c r="B238" s="2" t="s">
        <v>793</v>
      </c>
      <c r="C238" s="2" t="s">
        <v>10</v>
      </c>
      <c r="D238" s="2" t="s">
        <v>111</v>
      </c>
      <c r="E238" s="2" t="s">
        <v>31</v>
      </c>
      <c r="F238" s="2">
        <v>28</v>
      </c>
      <c r="G238" s="2" t="s">
        <v>32</v>
      </c>
      <c r="H238" s="3" t="s">
        <v>794</v>
      </c>
      <c r="I238" s="2"/>
      <c r="J238" s="2" t="s">
        <v>8</v>
      </c>
      <c r="K238" s="2">
        <v>126379</v>
      </c>
      <c r="L238" s="2">
        <v>2</v>
      </c>
      <c r="M238" s="2">
        <v>3</v>
      </c>
      <c r="N238" s="2" t="s">
        <v>6</v>
      </c>
      <c r="O238" s="2">
        <v>25</v>
      </c>
      <c r="P238" s="2">
        <f ca="1">ROUND((IF(I238="",TODAY(),I238)-H238)/365,1)</f>
        <v>10.5</v>
      </c>
      <c r="Q238" s="2" t="str">
        <f t="shared" si="3"/>
        <v>Medium</v>
      </c>
    </row>
    <row r="239" spans="1:17" x14ac:dyDescent="0.35">
      <c r="A239" s="2" t="s">
        <v>795</v>
      </c>
      <c r="B239" s="2" t="s">
        <v>299</v>
      </c>
      <c r="C239" s="2" t="s">
        <v>12</v>
      </c>
      <c r="D239" s="2" t="s">
        <v>30</v>
      </c>
      <c r="E239" s="2" t="s">
        <v>31</v>
      </c>
      <c r="F239" s="2">
        <v>22</v>
      </c>
      <c r="G239" s="2" t="s">
        <v>56</v>
      </c>
      <c r="H239" s="3" t="s">
        <v>796</v>
      </c>
      <c r="I239" s="3" t="s">
        <v>186</v>
      </c>
      <c r="J239" s="2" t="s">
        <v>6</v>
      </c>
      <c r="K239" s="2">
        <v>107323</v>
      </c>
      <c r="L239" s="2">
        <v>3</v>
      </c>
      <c r="M239" s="2">
        <v>4</v>
      </c>
      <c r="N239" s="2" t="s">
        <v>8</v>
      </c>
      <c r="O239" s="2">
        <v>14</v>
      </c>
      <c r="P239" s="2">
        <f ca="1">ROUND((IF(I239="",TODAY(),I239)-H239)/365,1)</f>
        <v>2.5</v>
      </c>
      <c r="Q239" s="2" t="str">
        <f t="shared" si="3"/>
        <v>N/A</v>
      </c>
    </row>
    <row r="240" spans="1:17" x14ac:dyDescent="0.35">
      <c r="A240" s="2" t="s">
        <v>797</v>
      </c>
      <c r="B240" s="2" t="s">
        <v>798</v>
      </c>
      <c r="C240" s="2" t="s">
        <v>11</v>
      </c>
      <c r="D240" s="2" t="s">
        <v>98</v>
      </c>
      <c r="E240" s="2" t="s">
        <v>46</v>
      </c>
      <c r="F240" s="2">
        <v>28</v>
      </c>
      <c r="G240" s="2" t="s">
        <v>78</v>
      </c>
      <c r="H240" s="3" t="s">
        <v>799</v>
      </c>
      <c r="I240" s="2"/>
      <c r="J240" s="2" t="s">
        <v>8</v>
      </c>
      <c r="K240" s="2">
        <v>81280</v>
      </c>
      <c r="L240" s="2">
        <v>4</v>
      </c>
      <c r="M240" s="2">
        <v>5</v>
      </c>
      <c r="N240" s="2" t="s">
        <v>8</v>
      </c>
      <c r="O240" s="2">
        <v>23</v>
      </c>
      <c r="P240" s="2">
        <f ca="1">ROUND((IF(I240="",TODAY(),I240)-H240)/365,1)</f>
        <v>10</v>
      </c>
      <c r="Q240" s="2" t="str">
        <f t="shared" si="3"/>
        <v>Low</v>
      </c>
    </row>
    <row r="241" spans="1:17" x14ac:dyDescent="0.35">
      <c r="A241" s="2" t="s">
        <v>800</v>
      </c>
      <c r="B241" s="2" t="s">
        <v>801</v>
      </c>
      <c r="C241" s="2" t="s">
        <v>7</v>
      </c>
      <c r="D241" s="2" t="s">
        <v>125</v>
      </c>
      <c r="E241" s="2" t="s">
        <v>31</v>
      </c>
      <c r="F241" s="2">
        <v>40</v>
      </c>
      <c r="G241" s="2" t="s">
        <v>56</v>
      </c>
      <c r="H241" s="3" t="s">
        <v>802</v>
      </c>
      <c r="I241" s="2"/>
      <c r="J241" s="2" t="s">
        <v>8</v>
      </c>
      <c r="K241" s="2">
        <v>92862</v>
      </c>
      <c r="L241" s="2">
        <v>3</v>
      </c>
      <c r="M241" s="2">
        <v>1</v>
      </c>
      <c r="N241" s="2" t="s">
        <v>8</v>
      </c>
      <c r="O241" s="2">
        <v>14</v>
      </c>
      <c r="P241" s="2">
        <f ca="1">ROUND((IF(I241="",TODAY(),I241)-H241)/365,1)</f>
        <v>2.9</v>
      </c>
      <c r="Q241" s="2" t="str">
        <f t="shared" si="3"/>
        <v>Medium</v>
      </c>
    </row>
    <row r="242" spans="1:17" x14ac:dyDescent="0.35">
      <c r="A242" s="2" t="s">
        <v>803</v>
      </c>
      <c r="B242" s="2" t="s">
        <v>59</v>
      </c>
      <c r="C242" s="2" t="s">
        <v>12</v>
      </c>
      <c r="D242" s="2" t="s">
        <v>133</v>
      </c>
      <c r="E242" s="2" t="s">
        <v>46</v>
      </c>
      <c r="F242" s="2">
        <v>53</v>
      </c>
      <c r="G242" s="2" t="s">
        <v>32</v>
      </c>
      <c r="H242" s="3" t="s">
        <v>804</v>
      </c>
      <c r="I242" s="2"/>
      <c r="J242" s="2" t="s">
        <v>8</v>
      </c>
      <c r="K242" s="2">
        <v>94243</v>
      </c>
      <c r="L242" s="2">
        <v>5</v>
      </c>
      <c r="M242" s="2">
        <v>4</v>
      </c>
      <c r="N242" s="2" t="s">
        <v>6</v>
      </c>
      <c r="O242" s="2">
        <v>5</v>
      </c>
      <c r="P242" s="2">
        <f ca="1">ROUND((IF(I242="",TODAY(),I242)-H242)/365,1)</f>
        <v>7.3</v>
      </c>
      <c r="Q242" s="2" t="str">
        <f t="shared" si="3"/>
        <v>Medium</v>
      </c>
    </row>
    <row r="243" spans="1:17" x14ac:dyDescent="0.35">
      <c r="A243" s="2" t="s">
        <v>805</v>
      </c>
      <c r="B243" s="2" t="s">
        <v>408</v>
      </c>
      <c r="C243" s="2" t="s">
        <v>9</v>
      </c>
      <c r="D243" s="2" t="s">
        <v>51</v>
      </c>
      <c r="E243" s="2" t="s">
        <v>46</v>
      </c>
      <c r="F243" s="2">
        <v>45</v>
      </c>
      <c r="G243" s="2" t="s">
        <v>32</v>
      </c>
      <c r="H243" s="3" t="s">
        <v>806</v>
      </c>
      <c r="I243" s="3" t="s">
        <v>807</v>
      </c>
      <c r="J243" s="2" t="s">
        <v>6</v>
      </c>
      <c r="K243" s="2">
        <v>101986</v>
      </c>
      <c r="L243" s="2">
        <v>1</v>
      </c>
      <c r="M243" s="2">
        <v>4</v>
      </c>
      <c r="N243" s="2" t="s">
        <v>8</v>
      </c>
      <c r="O243" s="2">
        <v>2</v>
      </c>
      <c r="P243" s="2">
        <f ca="1">ROUND((IF(I243="",TODAY(),I243)-H243)/365,1)</f>
        <v>1.4</v>
      </c>
      <c r="Q243" s="2" t="str">
        <f t="shared" si="3"/>
        <v>N/A</v>
      </c>
    </row>
    <row r="244" spans="1:17" x14ac:dyDescent="0.35">
      <c r="A244" s="2" t="s">
        <v>808</v>
      </c>
      <c r="B244" s="2" t="s">
        <v>809</v>
      </c>
      <c r="C244" s="2" t="s">
        <v>5</v>
      </c>
      <c r="D244" s="2" t="s">
        <v>94</v>
      </c>
      <c r="E244" s="2" t="s">
        <v>46</v>
      </c>
      <c r="F244" s="2">
        <v>54</v>
      </c>
      <c r="G244" s="2" t="s">
        <v>56</v>
      </c>
      <c r="H244" s="3" t="s">
        <v>810</v>
      </c>
      <c r="I244" s="2"/>
      <c r="J244" s="2" t="s">
        <v>8</v>
      </c>
      <c r="K244" s="2">
        <v>95328</v>
      </c>
      <c r="L244" s="2">
        <v>1</v>
      </c>
      <c r="M244" s="2">
        <v>4</v>
      </c>
      <c r="N244" s="2" t="s">
        <v>8</v>
      </c>
      <c r="O244" s="2">
        <v>41</v>
      </c>
      <c r="P244" s="2">
        <f ca="1">ROUND((IF(I244="",TODAY(),I244)-H244)/365,1)</f>
        <v>3</v>
      </c>
      <c r="Q244" s="2" t="str">
        <f t="shared" si="3"/>
        <v>Low</v>
      </c>
    </row>
    <row r="245" spans="1:17" x14ac:dyDescent="0.35">
      <c r="A245" s="2" t="s">
        <v>811</v>
      </c>
      <c r="B245" s="2" t="s">
        <v>617</v>
      </c>
      <c r="C245" s="2" t="s">
        <v>9</v>
      </c>
      <c r="D245" s="2" t="s">
        <v>51</v>
      </c>
      <c r="E245" s="2" t="s">
        <v>46</v>
      </c>
      <c r="F245" s="2">
        <v>35</v>
      </c>
      <c r="G245" s="2" t="s">
        <v>56</v>
      </c>
      <c r="H245" s="3" t="s">
        <v>812</v>
      </c>
      <c r="I245" s="2"/>
      <c r="J245" s="2" t="s">
        <v>8</v>
      </c>
      <c r="K245" s="2">
        <v>108138</v>
      </c>
      <c r="L245" s="2">
        <v>4</v>
      </c>
      <c r="M245" s="2">
        <v>3</v>
      </c>
      <c r="N245" s="2" t="s">
        <v>6</v>
      </c>
      <c r="O245" s="2">
        <v>38</v>
      </c>
      <c r="P245" s="2">
        <f ca="1">ROUND((IF(I245="",TODAY(),I245)-H245)/365,1)</f>
        <v>2.5</v>
      </c>
      <c r="Q245" s="2" t="str">
        <f t="shared" si="3"/>
        <v>Medium</v>
      </c>
    </row>
    <row r="246" spans="1:17" x14ac:dyDescent="0.35">
      <c r="A246" s="2" t="s">
        <v>813</v>
      </c>
      <c r="B246" s="2" t="s">
        <v>814</v>
      </c>
      <c r="C246" s="2" t="s">
        <v>5</v>
      </c>
      <c r="D246" s="2" t="s">
        <v>207</v>
      </c>
      <c r="E246" s="2" t="s">
        <v>46</v>
      </c>
      <c r="F246" s="2">
        <v>37</v>
      </c>
      <c r="G246" s="2" t="s">
        <v>32</v>
      </c>
      <c r="H246" s="3" t="s">
        <v>815</v>
      </c>
      <c r="I246" s="3" t="s">
        <v>816</v>
      </c>
      <c r="J246" s="2" t="s">
        <v>6</v>
      </c>
      <c r="K246" s="2">
        <v>104800</v>
      </c>
      <c r="L246" s="2">
        <v>4</v>
      </c>
      <c r="M246" s="2">
        <v>1</v>
      </c>
      <c r="N246" s="2" t="s">
        <v>8</v>
      </c>
      <c r="O246" s="2">
        <v>40</v>
      </c>
      <c r="P246" s="2">
        <f ca="1">ROUND((IF(I246="",TODAY(),I246)-H246)/365,1)</f>
        <v>8.5</v>
      </c>
      <c r="Q246" s="2" t="str">
        <f t="shared" si="3"/>
        <v>N/A</v>
      </c>
    </row>
    <row r="247" spans="1:17" x14ac:dyDescent="0.35">
      <c r="A247" s="2" t="s">
        <v>817</v>
      </c>
      <c r="B247" s="2" t="s">
        <v>818</v>
      </c>
      <c r="C247" s="2" t="s">
        <v>12</v>
      </c>
      <c r="D247" s="2" t="s">
        <v>55</v>
      </c>
      <c r="E247" s="2" t="s">
        <v>31</v>
      </c>
      <c r="F247" s="2">
        <v>30</v>
      </c>
      <c r="G247" s="2" t="s">
        <v>56</v>
      </c>
      <c r="H247" s="3" t="s">
        <v>819</v>
      </c>
      <c r="I247" s="3" t="s">
        <v>820</v>
      </c>
      <c r="J247" s="2" t="s">
        <v>6</v>
      </c>
      <c r="K247" s="2">
        <v>92793</v>
      </c>
      <c r="L247" s="2">
        <v>3</v>
      </c>
      <c r="M247" s="2">
        <v>4</v>
      </c>
      <c r="N247" s="2" t="s">
        <v>6</v>
      </c>
      <c r="O247" s="2">
        <v>34</v>
      </c>
      <c r="P247" s="2">
        <f ca="1">ROUND((IF(I247="",TODAY(),I247)-H247)/365,1)</f>
        <v>2.2000000000000002</v>
      </c>
      <c r="Q247" s="2" t="str">
        <f t="shared" si="3"/>
        <v>N/A</v>
      </c>
    </row>
    <row r="248" spans="1:17" x14ac:dyDescent="0.35">
      <c r="A248" s="2" t="s">
        <v>821</v>
      </c>
      <c r="B248" s="2" t="s">
        <v>822</v>
      </c>
      <c r="C248" s="2" t="s">
        <v>7</v>
      </c>
      <c r="D248" s="2" t="s">
        <v>37</v>
      </c>
      <c r="E248" s="2" t="s">
        <v>46</v>
      </c>
      <c r="F248" s="2">
        <v>43</v>
      </c>
      <c r="G248" s="2" t="s">
        <v>56</v>
      </c>
      <c r="H248" s="3" t="s">
        <v>823</v>
      </c>
      <c r="I248" s="2"/>
      <c r="J248" s="2" t="s">
        <v>8</v>
      </c>
      <c r="K248" s="2">
        <v>118365</v>
      </c>
      <c r="L248" s="2">
        <v>1</v>
      </c>
      <c r="M248" s="2">
        <v>5</v>
      </c>
      <c r="N248" s="2" t="s">
        <v>8</v>
      </c>
      <c r="O248" s="2">
        <v>17</v>
      </c>
      <c r="P248" s="2">
        <f ca="1">ROUND((IF(I248="",TODAY(),I248)-H248)/365,1)</f>
        <v>2.6</v>
      </c>
      <c r="Q248" s="2" t="str">
        <f t="shared" si="3"/>
        <v>Low</v>
      </c>
    </row>
    <row r="249" spans="1:17" x14ac:dyDescent="0.35">
      <c r="A249" s="2" t="s">
        <v>824</v>
      </c>
      <c r="B249" s="2" t="s">
        <v>825</v>
      </c>
      <c r="C249" s="2" t="s">
        <v>10</v>
      </c>
      <c r="D249" s="2" t="s">
        <v>258</v>
      </c>
      <c r="E249" s="2" t="s">
        <v>46</v>
      </c>
      <c r="F249" s="2">
        <v>58</v>
      </c>
      <c r="G249" s="2" t="s">
        <v>56</v>
      </c>
      <c r="H249" s="3" t="s">
        <v>826</v>
      </c>
      <c r="I249" s="3" t="s">
        <v>827</v>
      </c>
      <c r="J249" s="2" t="s">
        <v>6</v>
      </c>
      <c r="K249" s="2">
        <v>113358</v>
      </c>
      <c r="L249" s="2">
        <v>1</v>
      </c>
      <c r="M249" s="2">
        <v>3</v>
      </c>
      <c r="N249" s="2" t="s">
        <v>8</v>
      </c>
      <c r="O249" s="2">
        <v>37</v>
      </c>
      <c r="P249" s="2">
        <f ca="1">ROUND((IF(I249="",TODAY(),I249)-H249)/365,1)</f>
        <v>8.5</v>
      </c>
      <c r="Q249" s="2" t="str">
        <f t="shared" si="3"/>
        <v>N/A</v>
      </c>
    </row>
    <row r="250" spans="1:17" x14ac:dyDescent="0.35">
      <c r="A250" s="2" t="s">
        <v>828</v>
      </c>
      <c r="B250" s="2" t="s">
        <v>829</v>
      </c>
      <c r="C250" s="2" t="s">
        <v>11</v>
      </c>
      <c r="D250" s="2" t="s">
        <v>45</v>
      </c>
      <c r="E250" s="2" t="s">
        <v>31</v>
      </c>
      <c r="F250" s="2">
        <v>24</v>
      </c>
      <c r="G250" s="2" t="s">
        <v>56</v>
      </c>
      <c r="H250" s="3" t="s">
        <v>830</v>
      </c>
      <c r="I250" s="2"/>
      <c r="J250" s="2" t="s">
        <v>8</v>
      </c>
      <c r="K250" s="2">
        <v>97465</v>
      </c>
      <c r="L250" s="2">
        <v>2</v>
      </c>
      <c r="M250" s="2">
        <v>2</v>
      </c>
      <c r="N250" s="2" t="s">
        <v>8</v>
      </c>
      <c r="O250" s="2">
        <v>3</v>
      </c>
      <c r="P250" s="2">
        <f ca="1">ROUND((IF(I250="",TODAY(),I250)-H250)/365,1)</f>
        <v>6.3</v>
      </c>
      <c r="Q250" s="2" t="str">
        <f t="shared" si="3"/>
        <v>Medium</v>
      </c>
    </row>
    <row r="251" spans="1:17" x14ac:dyDescent="0.35">
      <c r="A251" s="2" t="s">
        <v>831</v>
      </c>
      <c r="B251" s="2" t="s">
        <v>296</v>
      </c>
      <c r="C251" s="2" t="s">
        <v>10</v>
      </c>
      <c r="D251" s="2" t="s">
        <v>111</v>
      </c>
      <c r="E251" s="2" t="s">
        <v>46</v>
      </c>
      <c r="F251" s="2">
        <v>42</v>
      </c>
      <c r="G251" s="2" t="s">
        <v>56</v>
      </c>
      <c r="H251" s="3" t="s">
        <v>832</v>
      </c>
      <c r="I251" s="2"/>
      <c r="J251" s="2" t="s">
        <v>8</v>
      </c>
      <c r="K251" s="2">
        <v>90803</v>
      </c>
      <c r="L251" s="2">
        <v>3</v>
      </c>
      <c r="M251" s="2">
        <v>5</v>
      </c>
      <c r="N251" s="2" t="s">
        <v>8</v>
      </c>
      <c r="O251" s="2">
        <v>8</v>
      </c>
      <c r="P251" s="2">
        <f ca="1">ROUND((IF(I251="",TODAY(),I251)-H251)/365,1)</f>
        <v>8.6</v>
      </c>
      <c r="Q251" s="2" t="str">
        <f t="shared" si="3"/>
        <v>Low</v>
      </c>
    </row>
    <row r="252" spans="1:17" x14ac:dyDescent="0.35">
      <c r="A252" s="2" t="s">
        <v>833</v>
      </c>
      <c r="B252" s="2" t="s">
        <v>793</v>
      </c>
      <c r="C252" s="2" t="s">
        <v>7</v>
      </c>
      <c r="D252" s="2" t="s">
        <v>155</v>
      </c>
      <c r="E252" s="2" t="s">
        <v>31</v>
      </c>
      <c r="F252" s="2">
        <v>51</v>
      </c>
      <c r="G252" s="2" t="s">
        <v>78</v>
      </c>
      <c r="H252" s="3" t="s">
        <v>834</v>
      </c>
      <c r="I252" s="3" t="s">
        <v>835</v>
      </c>
      <c r="J252" s="2" t="s">
        <v>6</v>
      </c>
      <c r="K252" s="2">
        <v>97494</v>
      </c>
      <c r="L252" s="2">
        <v>3</v>
      </c>
      <c r="M252" s="2">
        <v>3</v>
      </c>
      <c r="N252" s="2" t="s">
        <v>6</v>
      </c>
      <c r="O252" s="2">
        <v>6</v>
      </c>
      <c r="P252" s="2">
        <f ca="1">ROUND((IF(I252="",TODAY(),I252)-H252)/365,1)</f>
        <v>0.7</v>
      </c>
      <c r="Q252" s="2" t="str">
        <f t="shared" si="3"/>
        <v>N/A</v>
      </c>
    </row>
    <row r="253" spans="1:17" x14ac:dyDescent="0.35">
      <c r="A253" s="2" t="s">
        <v>836</v>
      </c>
      <c r="B253" s="2" t="s">
        <v>837</v>
      </c>
      <c r="C253" s="2" t="s">
        <v>9</v>
      </c>
      <c r="D253" s="2" t="s">
        <v>77</v>
      </c>
      <c r="E253" s="2" t="s">
        <v>46</v>
      </c>
      <c r="F253" s="2">
        <v>51</v>
      </c>
      <c r="G253" s="2" t="s">
        <v>32</v>
      </c>
      <c r="H253" s="3" t="s">
        <v>838</v>
      </c>
      <c r="I253" s="3" t="s">
        <v>839</v>
      </c>
      <c r="J253" s="2" t="s">
        <v>6</v>
      </c>
      <c r="K253" s="2">
        <v>124677</v>
      </c>
      <c r="L253" s="2">
        <v>2</v>
      </c>
      <c r="M253" s="2">
        <v>4</v>
      </c>
      <c r="N253" s="2" t="s">
        <v>8</v>
      </c>
      <c r="O253" s="2">
        <v>35</v>
      </c>
      <c r="P253" s="2">
        <f ca="1">ROUND((IF(I253="",TODAY(),I253)-H253)/365,1)</f>
        <v>4.8</v>
      </c>
      <c r="Q253" s="2" t="str">
        <f t="shared" si="3"/>
        <v>N/A</v>
      </c>
    </row>
    <row r="254" spans="1:17" x14ac:dyDescent="0.35">
      <c r="A254" s="2" t="s">
        <v>840</v>
      </c>
      <c r="B254" s="2" t="s">
        <v>841</v>
      </c>
      <c r="C254" s="2" t="s">
        <v>5</v>
      </c>
      <c r="D254" s="2" t="s">
        <v>94</v>
      </c>
      <c r="E254" s="2" t="s">
        <v>46</v>
      </c>
      <c r="F254" s="2">
        <v>22</v>
      </c>
      <c r="G254" s="2" t="s">
        <v>32</v>
      </c>
      <c r="H254" s="3" t="s">
        <v>842</v>
      </c>
      <c r="I254" s="2"/>
      <c r="J254" s="2" t="s">
        <v>8</v>
      </c>
      <c r="K254" s="2">
        <v>94443</v>
      </c>
      <c r="L254" s="2">
        <v>1</v>
      </c>
      <c r="M254" s="2">
        <v>3</v>
      </c>
      <c r="N254" s="2" t="s">
        <v>8</v>
      </c>
      <c r="O254" s="2">
        <v>14</v>
      </c>
      <c r="P254" s="2">
        <f ca="1">ROUND((IF(I254="",TODAY(),I254)-H254)/365,1)</f>
        <v>3.1</v>
      </c>
      <c r="Q254" s="2" t="str">
        <f t="shared" si="3"/>
        <v>Low</v>
      </c>
    </row>
    <row r="255" spans="1:17" x14ac:dyDescent="0.35">
      <c r="A255" s="2" t="s">
        <v>843</v>
      </c>
      <c r="B255" s="2" t="s">
        <v>844</v>
      </c>
      <c r="C255" s="2" t="s">
        <v>5</v>
      </c>
      <c r="D255" s="2" t="s">
        <v>94</v>
      </c>
      <c r="E255" s="2" t="s">
        <v>46</v>
      </c>
      <c r="F255" s="2">
        <v>36</v>
      </c>
      <c r="G255" s="2" t="s">
        <v>32</v>
      </c>
      <c r="H255" s="3" t="s">
        <v>845</v>
      </c>
      <c r="I255" s="2"/>
      <c r="J255" s="2" t="s">
        <v>8</v>
      </c>
      <c r="K255" s="2">
        <v>123028</v>
      </c>
      <c r="L255" s="2">
        <v>3</v>
      </c>
      <c r="M255" s="2">
        <v>4</v>
      </c>
      <c r="N255" s="2" t="s">
        <v>8</v>
      </c>
      <c r="O255" s="2">
        <v>30</v>
      </c>
      <c r="P255" s="2">
        <f ca="1">ROUND((IF(I255="",TODAY(),I255)-H255)/365,1)</f>
        <v>1.5</v>
      </c>
      <c r="Q255" s="2" t="str">
        <f t="shared" si="3"/>
        <v>Low</v>
      </c>
    </row>
    <row r="256" spans="1:17" x14ac:dyDescent="0.35">
      <c r="A256" s="2" t="s">
        <v>846</v>
      </c>
      <c r="B256" s="2" t="s">
        <v>847</v>
      </c>
      <c r="C256" s="2" t="s">
        <v>11</v>
      </c>
      <c r="D256" s="2" t="s">
        <v>45</v>
      </c>
      <c r="E256" s="2" t="s">
        <v>46</v>
      </c>
      <c r="F256" s="2">
        <v>58</v>
      </c>
      <c r="G256" s="2" t="s">
        <v>78</v>
      </c>
      <c r="H256" s="3" t="s">
        <v>848</v>
      </c>
      <c r="I256" s="2"/>
      <c r="J256" s="2" t="s">
        <v>8</v>
      </c>
      <c r="K256" s="2">
        <v>59208</v>
      </c>
      <c r="L256" s="2">
        <v>2</v>
      </c>
      <c r="M256" s="2">
        <v>2</v>
      </c>
      <c r="N256" s="2" t="s">
        <v>8</v>
      </c>
      <c r="O256" s="2">
        <v>19</v>
      </c>
      <c r="P256" s="2">
        <f ca="1">ROUND((IF(I256="",TODAY(),I256)-H256)/365,1)</f>
        <v>10.9</v>
      </c>
      <c r="Q256" s="2" t="str">
        <f t="shared" si="3"/>
        <v>Medium</v>
      </c>
    </row>
    <row r="257" spans="1:17" x14ac:dyDescent="0.35">
      <c r="A257" s="2" t="s">
        <v>849</v>
      </c>
      <c r="B257" s="2" t="s">
        <v>850</v>
      </c>
      <c r="C257" s="2" t="s">
        <v>10</v>
      </c>
      <c r="D257" s="2" t="s">
        <v>70</v>
      </c>
      <c r="E257" s="2" t="s">
        <v>46</v>
      </c>
      <c r="F257" s="2">
        <v>39</v>
      </c>
      <c r="G257" s="2" t="s">
        <v>32</v>
      </c>
      <c r="H257" s="3" t="s">
        <v>851</v>
      </c>
      <c r="I257" s="3" t="s">
        <v>852</v>
      </c>
      <c r="J257" s="2" t="s">
        <v>6</v>
      </c>
      <c r="K257" s="2">
        <v>39283</v>
      </c>
      <c r="L257" s="2">
        <v>2</v>
      </c>
      <c r="M257" s="2">
        <v>2</v>
      </c>
      <c r="N257" s="2" t="s">
        <v>6</v>
      </c>
      <c r="O257" s="2">
        <v>38</v>
      </c>
      <c r="P257" s="2">
        <f ca="1">ROUND((IF(I257="",TODAY(),I257)-H257)/365,1)</f>
        <v>5.2</v>
      </c>
      <c r="Q257" s="2" t="str">
        <f t="shared" si="3"/>
        <v>N/A</v>
      </c>
    </row>
    <row r="258" spans="1:17" x14ac:dyDescent="0.35">
      <c r="A258" s="2" t="s">
        <v>853</v>
      </c>
      <c r="B258" s="2" t="s">
        <v>854</v>
      </c>
      <c r="C258" s="2" t="s">
        <v>10</v>
      </c>
      <c r="D258" s="2" t="s">
        <v>258</v>
      </c>
      <c r="E258" s="2" t="s">
        <v>46</v>
      </c>
      <c r="F258" s="2">
        <v>44</v>
      </c>
      <c r="G258" s="2" t="s">
        <v>32</v>
      </c>
      <c r="H258" s="3" t="s">
        <v>855</v>
      </c>
      <c r="I258" s="3" t="s">
        <v>856</v>
      </c>
      <c r="J258" s="2" t="s">
        <v>6</v>
      </c>
      <c r="K258" s="2">
        <v>136736</v>
      </c>
      <c r="L258" s="2">
        <v>4</v>
      </c>
      <c r="M258" s="2">
        <v>3</v>
      </c>
      <c r="N258" s="2" t="s">
        <v>6</v>
      </c>
      <c r="O258" s="2">
        <v>17</v>
      </c>
      <c r="P258" s="2">
        <f ca="1">ROUND((IF(I258="",TODAY(),I258)-H258)/365,1)</f>
        <v>2.4</v>
      </c>
      <c r="Q258" s="2" t="str">
        <f t="shared" ref="Q258:Q321" si="4">IF(J258="No",IF(AND(M258&lt;=2,N258="Yes"),"High",IF(OR(M258&lt;=2,N258="Yes"),"Medium","Low")),"N/A")</f>
        <v>N/A</v>
      </c>
    </row>
    <row r="259" spans="1:17" x14ac:dyDescent="0.35">
      <c r="A259" s="2" t="s">
        <v>857</v>
      </c>
      <c r="B259" s="2" t="s">
        <v>40</v>
      </c>
      <c r="C259" s="2" t="s">
        <v>12</v>
      </c>
      <c r="D259" s="2" t="s">
        <v>133</v>
      </c>
      <c r="E259" s="2" t="s">
        <v>31</v>
      </c>
      <c r="F259" s="2">
        <v>31</v>
      </c>
      <c r="G259" s="2" t="s">
        <v>56</v>
      </c>
      <c r="H259" s="3" t="s">
        <v>858</v>
      </c>
      <c r="I259" s="2"/>
      <c r="J259" s="2" t="s">
        <v>8</v>
      </c>
      <c r="K259" s="2">
        <v>31416</v>
      </c>
      <c r="L259" s="2">
        <v>4</v>
      </c>
      <c r="M259" s="2">
        <v>3</v>
      </c>
      <c r="N259" s="2" t="s">
        <v>8</v>
      </c>
      <c r="O259" s="2">
        <v>33</v>
      </c>
      <c r="P259" s="2">
        <f ca="1">ROUND((IF(I259="",TODAY(),I259)-H259)/365,1)</f>
        <v>10.6</v>
      </c>
      <c r="Q259" s="2" t="str">
        <f t="shared" si="4"/>
        <v>Low</v>
      </c>
    </row>
    <row r="260" spans="1:17" x14ac:dyDescent="0.35">
      <c r="A260" s="2" t="s">
        <v>859</v>
      </c>
      <c r="B260" s="2" t="s">
        <v>516</v>
      </c>
      <c r="C260" s="2" t="s">
        <v>7</v>
      </c>
      <c r="D260" s="2" t="s">
        <v>155</v>
      </c>
      <c r="E260" s="2" t="s">
        <v>46</v>
      </c>
      <c r="F260" s="2">
        <v>57</v>
      </c>
      <c r="G260" s="2" t="s">
        <v>32</v>
      </c>
      <c r="H260" s="3" t="s">
        <v>860</v>
      </c>
      <c r="I260" s="2"/>
      <c r="J260" s="2" t="s">
        <v>8</v>
      </c>
      <c r="K260" s="2">
        <v>26567</v>
      </c>
      <c r="L260" s="2">
        <v>2</v>
      </c>
      <c r="M260" s="2">
        <v>1</v>
      </c>
      <c r="N260" s="2" t="s">
        <v>6</v>
      </c>
      <c r="O260" s="2">
        <v>8</v>
      </c>
      <c r="P260" s="2">
        <f ca="1">ROUND((IF(I260="",TODAY(),I260)-H260)/365,1)</f>
        <v>8.8000000000000007</v>
      </c>
      <c r="Q260" s="2" t="str">
        <f t="shared" si="4"/>
        <v>High</v>
      </c>
    </row>
    <row r="261" spans="1:17" x14ac:dyDescent="0.35">
      <c r="A261" s="2" t="s">
        <v>861</v>
      </c>
      <c r="B261" s="2" t="s">
        <v>478</v>
      </c>
      <c r="C261" s="2" t="s">
        <v>7</v>
      </c>
      <c r="D261" s="2" t="s">
        <v>155</v>
      </c>
      <c r="E261" s="2" t="s">
        <v>31</v>
      </c>
      <c r="F261" s="2">
        <v>27</v>
      </c>
      <c r="G261" s="2" t="s">
        <v>56</v>
      </c>
      <c r="H261" s="3" t="s">
        <v>862</v>
      </c>
      <c r="I261" s="2"/>
      <c r="J261" s="2" t="s">
        <v>8</v>
      </c>
      <c r="K261" s="2">
        <v>50919</v>
      </c>
      <c r="L261" s="2">
        <v>1</v>
      </c>
      <c r="M261" s="2">
        <v>1</v>
      </c>
      <c r="N261" s="2" t="s">
        <v>8</v>
      </c>
      <c r="O261" s="2">
        <v>5</v>
      </c>
      <c r="P261" s="2">
        <f ca="1">ROUND((IF(I261="",TODAY(),I261)-H261)/365,1)</f>
        <v>5.0999999999999996</v>
      </c>
      <c r="Q261" s="2" t="str">
        <f t="shared" si="4"/>
        <v>Medium</v>
      </c>
    </row>
    <row r="262" spans="1:17" x14ac:dyDescent="0.35">
      <c r="A262" s="2" t="s">
        <v>863</v>
      </c>
      <c r="B262" s="2" t="s">
        <v>864</v>
      </c>
      <c r="C262" s="2" t="s">
        <v>7</v>
      </c>
      <c r="D262" s="2" t="s">
        <v>155</v>
      </c>
      <c r="E262" s="2" t="s">
        <v>46</v>
      </c>
      <c r="F262" s="2">
        <v>51</v>
      </c>
      <c r="G262" s="2" t="s">
        <v>32</v>
      </c>
      <c r="H262" s="3" t="s">
        <v>865</v>
      </c>
      <c r="I262" s="2"/>
      <c r="J262" s="2" t="s">
        <v>8</v>
      </c>
      <c r="K262" s="2">
        <v>90028</v>
      </c>
      <c r="L262" s="2">
        <v>4</v>
      </c>
      <c r="M262" s="2">
        <v>5</v>
      </c>
      <c r="N262" s="2" t="s">
        <v>6</v>
      </c>
      <c r="O262" s="2">
        <v>26</v>
      </c>
      <c r="P262" s="2">
        <f ca="1">ROUND((IF(I262="",TODAY(),I262)-H262)/365,1)</f>
        <v>11</v>
      </c>
      <c r="Q262" s="2" t="str">
        <f t="shared" si="4"/>
        <v>Medium</v>
      </c>
    </row>
    <row r="263" spans="1:17" x14ac:dyDescent="0.35">
      <c r="A263" s="2" t="s">
        <v>866</v>
      </c>
      <c r="B263" s="2" t="s">
        <v>867</v>
      </c>
      <c r="C263" s="2" t="s">
        <v>10</v>
      </c>
      <c r="D263" s="2" t="s">
        <v>111</v>
      </c>
      <c r="E263" s="2" t="s">
        <v>46</v>
      </c>
      <c r="F263" s="2">
        <v>39</v>
      </c>
      <c r="G263" s="2" t="s">
        <v>56</v>
      </c>
      <c r="H263" s="3" t="s">
        <v>868</v>
      </c>
      <c r="I263" s="3" t="s">
        <v>869</v>
      </c>
      <c r="J263" s="2" t="s">
        <v>6</v>
      </c>
      <c r="K263" s="2">
        <v>106156</v>
      </c>
      <c r="L263" s="2">
        <v>1</v>
      </c>
      <c r="M263" s="2">
        <v>2</v>
      </c>
      <c r="N263" s="2" t="s">
        <v>8</v>
      </c>
      <c r="O263" s="2">
        <v>40</v>
      </c>
      <c r="P263" s="2">
        <f ca="1">ROUND((IF(I263="",TODAY(),I263)-H263)/365,1)</f>
        <v>3.5</v>
      </c>
      <c r="Q263" s="2" t="str">
        <f t="shared" si="4"/>
        <v>N/A</v>
      </c>
    </row>
    <row r="264" spans="1:17" x14ac:dyDescent="0.35">
      <c r="A264" s="2" t="s">
        <v>870</v>
      </c>
      <c r="B264" s="2" t="s">
        <v>871</v>
      </c>
      <c r="C264" s="2" t="s">
        <v>10</v>
      </c>
      <c r="D264" s="2" t="s">
        <v>258</v>
      </c>
      <c r="E264" s="2" t="s">
        <v>46</v>
      </c>
      <c r="F264" s="2">
        <v>39</v>
      </c>
      <c r="G264" s="2" t="s">
        <v>56</v>
      </c>
      <c r="H264" s="3" t="s">
        <v>872</v>
      </c>
      <c r="I264" s="2"/>
      <c r="J264" s="2" t="s">
        <v>8</v>
      </c>
      <c r="K264" s="2">
        <v>107674</v>
      </c>
      <c r="L264" s="2">
        <v>5</v>
      </c>
      <c r="M264" s="2">
        <v>2</v>
      </c>
      <c r="N264" s="2" t="s">
        <v>6</v>
      </c>
      <c r="O264" s="2">
        <v>16</v>
      </c>
      <c r="P264" s="2">
        <f ca="1">ROUND((IF(I264="",TODAY(),I264)-H264)/365,1)</f>
        <v>7.3</v>
      </c>
      <c r="Q264" s="2" t="str">
        <f t="shared" si="4"/>
        <v>High</v>
      </c>
    </row>
    <row r="265" spans="1:17" x14ac:dyDescent="0.35">
      <c r="A265" s="2" t="s">
        <v>873</v>
      </c>
      <c r="B265" s="2" t="s">
        <v>874</v>
      </c>
      <c r="C265" s="2" t="s">
        <v>10</v>
      </c>
      <c r="D265" s="2" t="s">
        <v>70</v>
      </c>
      <c r="E265" s="2" t="s">
        <v>46</v>
      </c>
      <c r="F265" s="2">
        <v>53</v>
      </c>
      <c r="G265" s="2" t="s">
        <v>32</v>
      </c>
      <c r="H265" s="3" t="s">
        <v>875</v>
      </c>
      <c r="I265" s="3" t="s">
        <v>876</v>
      </c>
      <c r="J265" s="2" t="s">
        <v>6</v>
      </c>
      <c r="K265" s="2">
        <v>60446</v>
      </c>
      <c r="L265" s="2">
        <v>3</v>
      </c>
      <c r="M265" s="2">
        <v>5</v>
      </c>
      <c r="N265" s="2" t="s">
        <v>8</v>
      </c>
      <c r="O265" s="2">
        <v>25</v>
      </c>
      <c r="P265" s="2">
        <f ca="1">ROUND((IF(I265="",TODAY(),I265)-H265)/365,1)</f>
        <v>6.9</v>
      </c>
      <c r="Q265" s="2" t="str">
        <f t="shared" si="4"/>
        <v>N/A</v>
      </c>
    </row>
    <row r="266" spans="1:17" x14ac:dyDescent="0.35">
      <c r="A266" s="2" t="s">
        <v>877</v>
      </c>
      <c r="B266" s="2" t="s">
        <v>825</v>
      </c>
      <c r="C266" s="2" t="s">
        <v>7</v>
      </c>
      <c r="D266" s="2" t="s">
        <v>155</v>
      </c>
      <c r="E266" s="2" t="s">
        <v>46</v>
      </c>
      <c r="F266" s="2">
        <v>55</v>
      </c>
      <c r="G266" s="2" t="s">
        <v>56</v>
      </c>
      <c r="H266" s="3" t="s">
        <v>878</v>
      </c>
      <c r="I266" s="3" t="s">
        <v>879</v>
      </c>
      <c r="J266" s="2" t="s">
        <v>6</v>
      </c>
      <c r="K266" s="2">
        <v>57487</v>
      </c>
      <c r="L266" s="2">
        <v>2</v>
      </c>
      <c r="M266" s="2">
        <v>2</v>
      </c>
      <c r="N266" s="2" t="s">
        <v>8</v>
      </c>
      <c r="O266" s="2">
        <v>7</v>
      </c>
      <c r="P266" s="2">
        <f ca="1">ROUND((IF(I266="",TODAY(),I266)-H266)/365,1)</f>
        <v>6.2</v>
      </c>
      <c r="Q266" s="2" t="str">
        <f t="shared" si="4"/>
        <v>N/A</v>
      </c>
    </row>
    <row r="267" spans="1:17" x14ac:dyDescent="0.35">
      <c r="A267" s="2" t="s">
        <v>880</v>
      </c>
      <c r="B267" s="2" t="s">
        <v>195</v>
      </c>
      <c r="C267" s="2" t="s">
        <v>12</v>
      </c>
      <c r="D267" s="2" t="s">
        <v>30</v>
      </c>
      <c r="E267" s="2" t="s">
        <v>31</v>
      </c>
      <c r="F267" s="2">
        <v>44</v>
      </c>
      <c r="G267" s="2" t="s">
        <v>78</v>
      </c>
      <c r="H267" s="3" t="s">
        <v>881</v>
      </c>
      <c r="I267" s="2"/>
      <c r="J267" s="2" t="s">
        <v>8</v>
      </c>
      <c r="K267" s="2">
        <v>102662</v>
      </c>
      <c r="L267" s="2">
        <v>2</v>
      </c>
      <c r="M267" s="2">
        <v>2</v>
      </c>
      <c r="N267" s="2" t="s">
        <v>8</v>
      </c>
      <c r="O267" s="2">
        <v>16</v>
      </c>
      <c r="P267" s="2">
        <f ca="1">ROUND((IF(I267="",TODAY(),I267)-H267)/365,1)</f>
        <v>1.1000000000000001</v>
      </c>
      <c r="Q267" s="2" t="str">
        <f t="shared" si="4"/>
        <v>Medium</v>
      </c>
    </row>
    <row r="268" spans="1:17" x14ac:dyDescent="0.35">
      <c r="A268" s="2" t="s">
        <v>882</v>
      </c>
      <c r="B268" s="2" t="s">
        <v>883</v>
      </c>
      <c r="C268" s="2" t="s">
        <v>12</v>
      </c>
      <c r="D268" s="2" t="s">
        <v>133</v>
      </c>
      <c r="E268" s="2" t="s">
        <v>31</v>
      </c>
      <c r="F268" s="2">
        <v>58</v>
      </c>
      <c r="G268" s="2" t="s">
        <v>32</v>
      </c>
      <c r="H268" s="3" t="s">
        <v>884</v>
      </c>
      <c r="I268" s="2"/>
      <c r="J268" s="2" t="s">
        <v>8</v>
      </c>
      <c r="K268" s="2">
        <v>65508</v>
      </c>
      <c r="L268" s="2">
        <v>4</v>
      </c>
      <c r="M268" s="2">
        <v>2</v>
      </c>
      <c r="N268" s="2" t="s">
        <v>8</v>
      </c>
      <c r="O268" s="2">
        <v>35</v>
      </c>
      <c r="P268" s="2">
        <f ca="1">ROUND((IF(I268="",TODAY(),I268)-H268)/365,1)</f>
        <v>10</v>
      </c>
      <c r="Q268" s="2" t="str">
        <f t="shared" si="4"/>
        <v>Medium</v>
      </c>
    </row>
    <row r="269" spans="1:17" x14ac:dyDescent="0.35">
      <c r="A269" s="2" t="s">
        <v>885</v>
      </c>
      <c r="B269" s="2" t="s">
        <v>886</v>
      </c>
      <c r="C269" s="2" t="s">
        <v>5</v>
      </c>
      <c r="D269" s="2" t="s">
        <v>94</v>
      </c>
      <c r="E269" s="2" t="s">
        <v>31</v>
      </c>
      <c r="F269" s="2">
        <v>23</v>
      </c>
      <c r="G269" s="2" t="s">
        <v>32</v>
      </c>
      <c r="H269" s="3" t="s">
        <v>887</v>
      </c>
      <c r="I269" s="2"/>
      <c r="J269" s="2" t="s">
        <v>8</v>
      </c>
      <c r="K269" s="2">
        <v>130702</v>
      </c>
      <c r="L269" s="2">
        <v>5</v>
      </c>
      <c r="M269" s="2">
        <v>3</v>
      </c>
      <c r="N269" s="2" t="s">
        <v>8</v>
      </c>
      <c r="O269" s="2">
        <v>13</v>
      </c>
      <c r="P269" s="2">
        <f ca="1">ROUND((IF(I269="",TODAY(),I269)-H269)/365,1)</f>
        <v>5.7</v>
      </c>
      <c r="Q269" s="2" t="str">
        <f t="shared" si="4"/>
        <v>Low</v>
      </c>
    </row>
    <row r="270" spans="1:17" x14ac:dyDescent="0.35">
      <c r="A270" s="2" t="s">
        <v>888</v>
      </c>
      <c r="B270" s="2" t="s">
        <v>499</v>
      </c>
      <c r="C270" s="2" t="s">
        <v>7</v>
      </c>
      <c r="D270" s="2" t="s">
        <v>125</v>
      </c>
      <c r="E270" s="2" t="s">
        <v>31</v>
      </c>
      <c r="F270" s="2">
        <v>31</v>
      </c>
      <c r="G270" s="2" t="s">
        <v>56</v>
      </c>
      <c r="H270" s="3" t="s">
        <v>889</v>
      </c>
      <c r="I270" s="2"/>
      <c r="J270" s="2" t="s">
        <v>8</v>
      </c>
      <c r="K270" s="2">
        <v>73967</v>
      </c>
      <c r="L270" s="2">
        <v>3</v>
      </c>
      <c r="M270" s="2">
        <v>5</v>
      </c>
      <c r="N270" s="2" t="s">
        <v>6</v>
      </c>
      <c r="O270" s="2">
        <v>5</v>
      </c>
      <c r="P270" s="2">
        <f ca="1">ROUND((IF(I270="",TODAY(),I270)-H270)/365,1)</f>
        <v>2.9</v>
      </c>
      <c r="Q270" s="2" t="str">
        <f t="shared" si="4"/>
        <v>Medium</v>
      </c>
    </row>
    <row r="271" spans="1:17" x14ac:dyDescent="0.35">
      <c r="A271" s="2" t="s">
        <v>890</v>
      </c>
      <c r="B271" s="2" t="s">
        <v>599</v>
      </c>
      <c r="C271" s="2" t="s">
        <v>10</v>
      </c>
      <c r="D271" s="2" t="s">
        <v>70</v>
      </c>
      <c r="E271" s="2" t="s">
        <v>31</v>
      </c>
      <c r="F271" s="2">
        <v>42</v>
      </c>
      <c r="G271" s="2" t="s">
        <v>32</v>
      </c>
      <c r="H271" s="3" t="s">
        <v>891</v>
      </c>
      <c r="I271" s="2"/>
      <c r="J271" s="2" t="s">
        <v>8</v>
      </c>
      <c r="K271" s="2">
        <v>66586</v>
      </c>
      <c r="L271" s="2">
        <v>4</v>
      </c>
      <c r="M271" s="2">
        <v>4</v>
      </c>
      <c r="N271" s="2" t="s">
        <v>8</v>
      </c>
      <c r="O271" s="2">
        <v>42</v>
      </c>
      <c r="P271" s="2">
        <f ca="1">ROUND((IF(I271="",TODAY(),I271)-H271)/365,1)</f>
        <v>10.1</v>
      </c>
      <c r="Q271" s="2" t="str">
        <f t="shared" si="4"/>
        <v>Low</v>
      </c>
    </row>
    <row r="272" spans="1:17" x14ac:dyDescent="0.35">
      <c r="A272" s="2" t="s">
        <v>892</v>
      </c>
      <c r="B272" s="2" t="s">
        <v>360</v>
      </c>
      <c r="C272" s="2" t="s">
        <v>11</v>
      </c>
      <c r="D272" s="2" t="s">
        <v>98</v>
      </c>
      <c r="E272" s="2" t="s">
        <v>46</v>
      </c>
      <c r="F272" s="2">
        <v>33</v>
      </c>
      <c r="G272" s="2" t="s">
        <v>32</v>
      </c>
      <c r="H272" s="3" t="s">
        <v>893</v>
      </c>
      <c r="I272" s="2"/>
      <c r="J272" s="2" t="s">
        <v>8</v>
      </c>
      <c r="K272" s="2">
        <v>120529</v>
      </c>
      <c r="L272" s="2">
        <v>2</v>
      </c>
      <c r="M272" s="2">
        <v>3</v>
      </c>
      <c r="N272" s="2" t="s">
        <v>6</v>
      </c>
      <c r="O272" s="2">
        <v>12</v>
      </c>
      <c r="P272" s="2">
        <f ca="1">ROUND((IF(I272="",TODAY(),I272)-H272)/365,1)</f>
        <v>7.4</v>
      </c>
      <c r="Q272" s="2" t="str">
        <f t="shared" si="4"/>
        <v>Medium</v>
      </c>
    </row>
    <row r="273" spans="1:17" x14ac:dyDescent="0.35">
      <c r="A273" s="2" t="s">
        <v>894</v>
      </c>
      <c r="B273" s="2" t="s">
        <v>895</v>
      </c>
      <c r="C273" s="2" t="s">
        <v>11</v>
      </c>
      <c r="D273" s="2" t="s">
        <v>66</v>
      </c>
      <c r="E273" s="2" t="s">
        <v>31</v>
      </c>
      <c r="F273" s="2">
        <v>42</v>
      </c>
      <c r="G273" s="2" t="s">
        <v>32</v>
      </c>
      <c r="H273" s="3" t="s">
        <v>896</v>
      </c>
      <c r="I273" s="2"/>
      <c r="J273" s="2" t="s">
        <v>8</v>
      </c>
      <c r="K273" s="2">
        <v>99127</v>
      </c>
      <c r="L273" s="2">
        <v>2</v>
      </c>
      <c r="M273" s="2">
        <v>5</v>
      </c>
      <c r="N273" s="2" t="s">
        <v>8</v>
      </c>
      <c r="O273" s="2">
        <v>41</v>
      </c>
      <c r="P273" s="2">
        <f ca="1">ROUND((IF(I273="",TODAY(),I273)-H273)/365,1)</f>
        <v>1.3</v>
      </c>
      <c r="Q273" s="2" t="str">
        <f t="shared" si="4"/>
        <v>Low</v>
      </c>
    </row>
    <row r="274" spans="1:17" x14ac:dyDescent="0.35">
      <c r="A274" s="2" t="s">
        <v>897</v>
      </c>
      <c r="B274" s="2" t="s">
        <v>898</v>
      </c>
      <c r="C274" s="2" t="s">
        <v>7</v>
      </c>
      <c r="D274" s="2" t="s">
        <v>125</v>
      </c>
      <c r="E274" s="2" t="s">
        <v>31</v>
      </c>
      <c r="F274" s="2">
        <v>42</v>
      </c>
      <c r="G274" s="2" t="s">
        <v>78</v>
      </c>
      <c r="H274" s="3" t="s">
        <v>211</v>
      </c>
      <c r="I274" s="3" t="s">
        <v>899</v>
      </c>
      <c r="J274" s="2" t="s">
        <v>6</v>
      </c>
      <c r="K274" s="2">
        <v>26493</v>
      </c>
      <c r="L274" s="2">
        <v>3</v>
      </c>
      <c r="M274" s="2">
        <v>1</v>
      </c>
      <c r="N274" s="2" t="s">
        <v>8</v>
      </c>
      <c r="O274" s="2">
        <v>29</v>
      </c>
      <c r="P274" s="2">
        <f ca="1">ROUND((IF(I274="",TODAY(),I274)-H274)/365,1)</f>
        <v>7.9</v>
      </c>
      <c r="Q274" s="2" t="str">
        <f t="shared" si="4"/>
        <v>N/A</v>
      </c>
    </row>
    <row r="275" spans="1:17" x14ac:dyDescent="0.35">
      <c r="A275" s="2" t="s">
        <v>900</v>
      </c>
      <c r="B275" s="2" t="s">
        <v>822</v>
      </c>
      <c r="C275" s="2" t="s">
        <v>5</v>
      </c>
      <c r="D275" s="2" t="s">
        <v>207</v>
      </c>
      <c r="E275" s="2" t="s">
        <v>46</v>
      </c>
      <c r="F275" s="2">
        <v>25</v>
      </c>
      <c r="G275" s="2" t="s">
        <v>78</v>
      </c>
      <c r="H275" s="3" t="s">
        <v>804</v>
      </c>
      <c r="I275" s="2"/>
      <c r="J275" s="2" t="s">
        <v>8</v>
      </c>
      <c r="K275" s="2">
        <v>89629</v>
      </c>
      <c r="L275" s="2">
        <v>2</v>
      </c>
      <c r="M275" s="2">
        <v>4</v>
      </c>
      <c r="N275" s="2" t="s">
        <v>8</v>
      </c>
      <c r="O275" s="2">
        <v>27</v>
      </c>
      <c r="P275" s="2">
        <f ca="1">ROUND((IF(I275="",TODAY(),I275)-H275)/365,1)</f>
        <v>7.3</v>
      </c>
      <c r="Q275" s="2" t="str">
        <f t="shared" si="4"/>
        <v>Low</v>
      </c>
    </row>
    <row r="276" spans="1:17" x14ac:dyDescent="0.35">
      <c r="A276" s="2" t="s">
        <v>901</v>
      </c>
      <c r="B276" s="2" t="s">
        <v>716</v>
      </c>
      <c r="C276" s="2" t="s">
        <v>10</v>
      </c>
      <c r="D276" s="2" t="s">
        <v>111</v>
      </c>
      <c r="E276" s="2" t="s">
        <v>46</v>
      </c>
      <c r="F276" s="2">
        <v>32</v>
      </c>
      <c r="G276" s="2" t="s">
        <v>78</v>
      </c>
      <c r="H276" s="3" t="s">
        <v>902</v>
      </c>
      <c r="I276" s="2"/>
      <c r="J276" s="2" t="s">
        <v>8</v>
      </c>
      <c r="K276" s="2">
        <v>66774</v>
      </c>
      <c r="L276" s="2">
        <v>3</v>
      </c>
      <c r="M276" s="2">
        <v>1</v>
      </c>
      <c r="N276" s="2" t="s">
        <v>6</v>
      </c>
      <c r="O276" s="2">
        <v>2</v>
      </c>
      <c r="P276" s="2">
        <f ca="1">ROUND((IF(I276="",TODAY(),I276)-H276)/365,1)</f>
        <v>6.5</v>
      </c>
      <c r="Q276" s="2" t="str">
        <f t="shared" si="4"/>
        <v>High</v>
      </c>
    </row>
    <row r="277" spans="1:17" x14ac:dyDescent="0.35">
      <c r="A277" s="2" t="s">
        <v>903</v>
      </c>
      <c r="B277" s="2" t="s">
        <v>904</v>
      </c>
      <c r="C277" s="2" t="s">
        <v>5</v>
      </c>
      <c r="D277" s="2" t="s">
        <v>207</v>
      </c>
      <c r="E277" s="2" t="s">
        <v>31</v>
      </c>
      <c r="F277" s="2">
        <v>26</v>
      </c>
      <c r="G277" s="2" t="s">
        <v>78</v>
      </c>
      <c r="H277" s="3" t="s">
        <v>905</v>
      </c>
      <c r="I277" s="2"/>
      <c r="J277" s="2" t="s">
        <v>8</v>
      </c>
      <c r="K277" s="2">
        <v>105431</v>
      </c>
      <c r="L277" s="2">
        <v>3</v>
      </c>
      <c r="M277" s="2">
        <v>1</v>
      </c>
      <c r="N277" s="2" t="s">
        <v>8</v>
      </c>
      <c r="O277" s="2">
        <v>39</v>
      </c>
      <c r="P277" s="2">
        <f ca="1">ROUND((IF(I277="",TODAY(),I277)-H277)/365,1)</f>
        <v>5.5</v>
      </c>
      <c r="Q277" s="2" t="str">
        <f t="shared" si="4"/>
        <v>Medium</v>
      </c>
    </row>
    <row r="278" spans="1:17" x14ac:dyDescent="0.35">
      <c r="A278" s="2" t="s">
        <v>906</v>
      </c>
      <c r="B278" s="2" t="s">
        <v>907</v>
      </c>
      <c r="C278" s="2" t="s">
        <v>10</v>
      </c>
      <c r="D278" s="2" t="s">
        <v>70</v>
      </c>
      <c r="E278" s="2" t="s">
        <v>31</v>
      </c>
      <c r="F278" s="2">
        <v>32</v>
      </c>
      <c r="G278" s="2" t="s">
        <v>56</v>
      </c>
      <c r="H278" s="3" t="s">
        <v>908</v>
      </c>
      <c r="I278" s="2"/>
      <c r="J278" s="2" t="s">
        <v>8</v>
      </c>
      <c r="K278" s="2">
        <v>116382</v>
      </c>
      <c r="L278" s="2">
        <v>2</v>
      </c>
      <c r="M278" s="2">
        <v>2</v>
      </c>
      <c r="N278" s="2" t="s">
        <v>6</v>
      </c>
      <c r="O278" s="2">
        <v>27</v>
      </c>
      <c r="P278" s="2">
        <f ca="1">ROUND((IF(I278="",TODAY(),I278)-H278)/365,1)</f>
        <v>11</v>
      </c>
      <c r="Q278" s="2" t="str">
        <f t="shared" si="4"/>
        <v>High</v>
      </c>
    </row>
    <row r="279" spans="1:17" x14ac:dyDescent="0.35">
      <c r="A279" s="2" t="s">
        <v>909</v>
      </c>
      <c r="B279" s="2" t="s">
        <v>910</v>
      </c>
      <c r="C279" s="2" t="s">
        <v>12</v>
      </c>
      <c r="D279" s="2" t="s">
        <v>55</v>
      </c>
      <c r="E279" s="2" t="s">
        <v>46</v>
      </c>
      <c r="F279" s="2">
        <v>37</v>
      </c>
      <c r="G279" s="2" t="s">
        <v>32</v>
      </c>
      <c r="H279" s="3" t="s">
        <v>911</v>
      </c>
      <c r="I279" s="2"/>
      <c r="J279" s="2" t="s">
        <v>8</v>
      </c>
      <c r="K279" s="2">
        <v>45131</v>
      </c>
      <c r="L279" s="2">
        <v>5</v>
      </c>
      <c r="M279" s="2">
        <v>5</v>
      </c>
      <c r="N279" s="2" t="s">
        <v>6</v>
      </c>
      <c r="O279" s="2">
        <v>32</v>
      </c>
      <c r="P279" s="2">
        <f ca="1">ROUND((IF(I279="",TODAY(),I279)-H279)/365,1)</f>
        <v>10.5</v>
      </c>
      <c r="Q279" s="2" t="str">
        <f t="shared" si="4"/>
        <v>Medium</v>
      </c>
    </row>
    <row r="280" spans="1:17" x14ac:dyDescent="0.35">
      <c r="A280" s="2" t="s">
        <v>912</v>
      </c>
      <c r="B280" s="2" t="s">
        <v>279</v>
      </c>
      <c r="C280" s="2" t="s">
        <v>10</v>
      </c>
      <c r="D280" s="2" t="s">
        <v>111</v>
      </c>
      <c r="E280" s="2" t="s">
        <v>46</v>
      </c>
      <c r="F280" s="2">
        <v>34</v>
      </c>
      <c r="G280" s="2" t="s">
        <v>32</v>
      </c>
      <c r="H280" s="3" t="s">
        <v>913</v>
      </c>
      <c r="I280" s="3" t="s">
        <v>914</v>
      </c>
      <c r="J280" s="2" t="s">
        <v>6</v>
      </c>
      <c r="K280" s="2">
        <v>87071</v>
      </c>
      <c r="L280" s="2">
        <v>3</v>
      </c>
      <c r="M280" s="2">
        <v>2</v>
      </c>
      <c r="N280" s="2" t="s">
        <v>6</v>
      </c>
      <c r="O280" s="2">
        <v>6</v>
      </c>
      <c r="P280" s="2">
        <f ca="1">ROUND((IF(I280="",TODAY(),I280)-H280)/365,1)</f>
        <v>4.5999999999999996</v>
      </c>
      <c r="Q280" s="2" t="str">
        <f t="shared" si="4"/>
        <v>N/A</v>
      </c>
    </row>
    <row r="281" spans="1:17" x14ac:dyDescent="0.35">
      <c r="A281" s="2" t="s">
        <v>915</v>
      </c>
      <c r="B281" s="2" t="s">
        <v>44</v>
      </c>
      <c r="C281" s="2" t="s">
        <v>10</v>
      </c>
      <c r="D281" s="2" t="s">
        <v>258</v>
      </c>
      <c r="E281" s="2" t="s">
        <v>46</v>
      </c>
      <c r="F281" s="2">
        <v>46</v>
      </c>
      <c r="G281" s="2" t="s">
        <v>32</v>
      </c>
      <c r="H281" s="3" t="s">
        <v>916</v>
      </c>
      <c r="I281" s="2"/>
      <c r="J281" s="2" t="s">
        <v>8</v>
      </c>
      <c r="K281" s="2">
        <v>83428</v>
      </c>
      <c r="L281" s="2">
        <v>3</v>
      </c>
      <c r="M281" s="2">
        <v>4</v>
      </c>
      <c r="N281" s="2" t="s">
        <v>8</v>
      </c>
      <c r="O281" s="2">
        <v>12</v>
      </c>
      <c r="P281" s="2">
        <f ca="1">ROUND((IF(I281="",TODAY(),I281)-H281)/365,1)</f>
        <v>9.5</v>
      </c>
      <c r="Q281" s="2" t="str">
        <f t="shared" si="4"/>
        <v>Low</v>
      </c>
    </row>
    <row r="282" spans="1:17" x14ac:dyDescent="0.35">
      <c r="A282" s="2" t="s">
        <v>917</v>
      </c>
      <c r="B282" s="2" t="s">
        <v>918</v>
      </c>
      <c r="C282" s="2" t="s">
        <v>10</v>
      </c>
      <c r="D282" s="2" t="s">
        <v>258</v>
      </c>
      <c r="E282" s="2" t="s">
        <v>31</v>
      </c>
      <c r="F282" s="2">
        <v>25</v>
      </c>
      <c r="G282" s="2" t="s">
        <v>56</v>
      </c>
      <c r="H282" s="3" t="s">
        <v>919</v>
      </c>
      <c r="I282" s="2"/>
      <c r="J282" s="2" t="s">
        <v>8</v>
      </c>
      <c r="K282" s="2">
        <v>70061</v>
      </c>
      <c r="L282" s="2">
        <v>1</v>
      </c>
      <c r="M282" s="2">
        <v>1</v>
      </c>
      <c r="N282" s="2" t="s">
        <v>8</v>
      </c>
      <c r="O282" s="2">
        <v>43</v>
      </c>
      <c r="P282" s="2">
        <f ca="1">ROUND((IF(I282="",TODAY(),I282)-H282)/365,1)</f>
        <v>9.9</v>
      </c>
      <c r="Q282" s="2" t="str">
        <f t="shared" si="4"/>
        <v>Medium</v>
      </c>
    </row>
    <row r="283" spans="1:17" x14ac:dyDescent="0.35">
      <c r="A283" s="2" t="s">
        <v>920</v>
      </c>
      <c r="B283" s="2" t="s">
        <v>921</v>
      </c>
      <c r="C283" s="2" t="s">
        <v>11</v>
      </c>
      <c r="D283" s="2" t="s">
        <v>45</v>
      </c>
      <c r="E283" s="2" t="s">
        <v>31</v>
      </c>
      <c r="F283" s="2">
        <v>48</v>
      </c>
      <c r="G283" s="2" t="s">
        <v>78</v>
      </c>
      <c r="H283" s="3" t="s">
        <v>922</v>
      </c>
      <c r="I283" s="3" t="s">
        <v>923</v>
      </c>
      <c r="J283" s="2" t="s">
        <v>6</v>
      </c>
      <c r="K283" s="2">
        <v>87424</v>
      </c>
      <c r="L283" s="2">
        <v>5</v>
      </c>
      <c r="M283" s="2">
        <v>4</v>
      </c>
      <c r="N283" s="2" t="s">
        <v>8</v>
      </c>
      <c r="O283" s="2">
        <v>16</v>
      </c>
      <c r="P283" s="2">
        <f ca="1">ROUND((IF(I283="",TODAY(),I283)-H283)/365,1)</f>
        <v>5.2</v>
      </c>
      <c r="Q283" s="2" t="str">
        <f t="shared" si="4"/>
        <v>N/A</v>
      </c>
    </row>
    <row r="284" spans="1:17" x14ac:dyDescent="0.35">
      <c r="A284" s="2" t="s">
        <v>924</v>
      </c>
      <c r="B284" s="2" t="s">
        <v>925</v>
      </c>
      <c r="C284" s="2" t="s">
        <v>12</v>
      </c>
      <c r="D284" s="2" t="s">
        <v>30</v>
      </c>
      <c r="E284" s="2" t="s">
        <v>31</v>
      </c>
      <c r="F284" s="2">
        <v>33</v>
      </c>
      <c r="G284" s="2" t="s">
        <v>32</v>
      </c>
      <c r="H284" s="3" t="s">
        <v>926</v>
      </c>
      <c r="I284" s="2"/>
      <c r="J284" s="2" t="s">
        <v>8</v>
      </c>
      <c r="K284" s="2">
        <v>80492</v>
      </c>
      <c r="L284" s="2">
        <v>2</v>
      </c>
      <c r="M284" s="2">
        <v>2</v>
      </c>
      <c r="N284" s="2" t="s">
        <v>8</v>
      </c>
      <c r="O284" s="2">
        <v>3</v>
      </c>
      <c r="P284" s="2">
        <f ca="1">ROUND((IF(I284="",TODAY(),I284)-H284)/365,1)</f>
        <v>9.6999999999999993</v>
      </c>
      <c r="Q284" s="2" t="str">
        <f t="shared" si="4"/>
        <v>Medium</v>
      </c>
    </row>
    <row r="285" spans="1:17" x14ac:dyDescent="0.35">
      <c r="A285" s="2" t="s">
        <v>927</v>
      </c>
      <c r="B285" s="2" t="s">
        <v>928</v>
      </c>
      <c r="C285" s="2" t="s">
        <v>10</v>
      </c>
      <c r="D285" s="2" t="s">
        <v>111</v>
      </c>
      <c r="E285" s="2" t="s">
        <v>31</v>
      </c>
      <c r="F285" s="2">
        <v>42</v>
      </c>
      <c r="G285" s="2" t="s">
        <v>78</v>
      </c>
      <c r="H285" s="3" t="s">
        <v>929</v>
      </c>
      <c r="I285" s="2"/>
      <c r="J285" s="2" t="s">
        <v>8</v>
      </c>
      <c r="K285" s="2">
        <v>97923</v>
      </c>
      <c r="L285" s="2">
        <v>1</v>
      </c>
      <c r="M285" s="2">
        <v>1</v>
      </c>
      <c r="N285" s="2" t="s">
        <v>8</v>
      </c>
      <c r="O285" s="2">
        <v>25</v>
      </c>
      <c r="P285" s="2">
        <f ca="1">ROUND((IF(I285="",TODAY(),I285)-H285)/365,1)</f>
        <v>1.4</v>
      </c>
      <c r="Q285" s="2" t="str">
        <f t="shared" si="4"/>
        <v>Medium</v>
      </c>
    </row>
    <row r="286" spans="1:17" x14ac:dyDescent="0.35">
      <c r="A286" s="2" t="s">
        <v>930</v>
      </c>
      <c r="B286" s="2" t="s">
        <v>742</v>
      </c>
      <c r="C286" s="2" t="s">
        <v>9</v>
      </c>
      <c r="D286" s="2" t="s">
        <v>77</v>
      </c>
      <c r="E286" s="2" t="s">
        <v>46</v>
      </c>
      <c r="F286" s="2">
        <v>55</v>
      </c>
      <c r="G286" s="2" t="s">
        <v>56</v>
      </c>
      <c r="H286" s="3" t="s">
        <v>931</v>
      </c>
      <c r="I286" s="2"/>
      <c r="J286" s="2" t="s">
        <v>8</v>
      </c>
      <c r="K286" s="2">
        <v>99264</v>
      </c>
      <c r="L286" s="2">
        <v>2</v>
      </c>
      <c r="M286" s="2">
        <v>4</v>
      </c>
      <c r="N286" s="2" t="s">
        <v>8</v>
      </c>
      <c r="O286" s="2">
        <v>10</v>
      </c>
      <c r="P286" s="2">
        <f ca="1">ROUND((IF(I286="",TODAY(),I286)-H286)/365,1)</f>
        <v>2.8</v>
      </c>
      <c r="Q286" s="2" t="str">
        <f t="shared" si="4"/>
        <v>Low</v>
      </c>
    </row>
    <row r="287" spans="1:17" x14ac:dyDescent="0.35">
      <c r="A287" s="2" t="s">
        <v>932</v>
      </c>
      <c r="B287" s="2" t="s">
        <v>933</v>
      </c>
      <c r="C287" s="2" t="s">
        <v>5</v>
      </c>
      <c r="D287" s="2" t="s">
        <v>94</v>
      </c>
      <c r="E287" s="2" t="s">
        <v>31</v>
      </c>
      <c r="F287" s="2">
        <v>44</v>
      </c>
      <c r="G287" s="2" t="s">
        <v>78</v>
      </c>
      <c r="H287" s="3" t="s">
        <v>934</v>
      </c>
      <c r="I287" s="3" t="s">
        <v>935</v>
      </c>
      <c r="J287" s="2" t="s">
        <v>6</v>
      </c>
      <c r="K287" s="2">
        <v>104817</v>
      </c>
      <c r="L287" s="2">
        <v>4</v>
      </c>
      <c r="M287" s="2">
        <v>4</v>
      </c>
      <c r="N287" s="2" t="s">
        <v>8</v>
      </c>
      <c r="O287" s="2">
        <v>37</v>
      </c>
      <c r="P287" s="2">
        <f ca="1">ROUND((IF(I287="",TODAY(),I287)-H287)/365,1)</f>
        <v>0.9</v>
      </c>
      <c r="Q287" s="2" t="str">
        <f t="shared" si="4"/>
        <v>N/A</v>
      </c>
    </row>
    <row r="288" spans="1:17" x14ac:dyDescent="0.35">
      <c r="A288" s="2" t="s">
        <v>936</v>
      </c>
      <c r="B288" s="2" t="s">
        <v>461</v>
      </c>
      <c r="C288" s="2" t="s">
        <v>10</v>
      </c>
      <c r="D288" s="2" t="s">
        <v>111</v>
      </c>
      <c r="E288" s="2" t="s">
        <v>46</v>
      </c>
      <c r="F288" s="2">
        <v>43</v>
      </c>
      <c r="G288" s="2" t="s">
        <v>78</v>
      </c>
      <c r="H288" s="3" t="s">
        <v>937</v>
      </c>
      <c r="I288" s="2"/>
      <c r="J288" s="2" t="s">
        <v>8</v>
      </c>
      <c r="K288" s="2">
        <v>27651</v>
      </c>
      <c r="L288" s="2">
        <v>3</v>
      </c>
      <c r="M288" s="2">
        <v>4</v>
      </c>
      <c r="N288" s="2" t="s">
        <v>6</v>
      </c>
      <c r="O288" s="2">
        <v>24</v>
      </c>
      <c r="P288" s="2">
        <f ca="1">ROUND((IF(I288="",TODAY(),I288)-H288)/365,1)</f>
        <v>3.9</v>
      </c>
      <c r="Q288" s="2" t="str">
        <f t="shared" si="4"/>
        <v>Medium</v>
      </c>
    </row>
    <row r="289" spans="1:17" x14ac:dyDescent="0.35">
      <c r="A289" s="2" t="s">
        <v>938</v>
      </c>
      <c r="B289" s="2" t="s">
        <v>939</v>
      </c>
      <c r="C289" s="2" t="s">
        <v>9</v>
      </c>
      <c r="D289" s="2" t="s">
        <v>41</v>
      </c>
      <c r="E289" s="2" t="s">
        <v>46</v>
      </c>
      <c r="F289" s="2">
        <v>36</v>
      </c>
      <c r="G289" s="2" t="s">
        <v>78</v>
      </c>
      <c r="H289" s="3" t="s">
        <v>940</v>
      </c>
      <c r="I289" s="2"/>
      <c r="J289" s="2" t="s">
        <v>8</v>
      </c>
      <c r="K289" s="2">
        <v>120525</v>
      </c>
      <c r="L289" s="2">
        <v>3</v>
      </c>
      <c r="M289" s="2">
        <v>4</v>
      </c>
      <c r="N289" s="2" t="s">
        <v>6</v>
      </c>
      <c r="O289" s="2">
        <v>18</v>
      </c>
      <c r="P289" s="2">
        <f ca="1">ROUND((IF(I289="",TODAY(),I289)-H289)/365,1)</f>
        <v>10.1</v>
      </c>
      <c r="Q289" s="2" t="str">
        <f t="shared" si="4"/>
        <v>Medium</v>
      </c>
    </row>
    <row r="290" spans="1:17" x14ac:dyDescent="0.35">
      <c r="A290" s="2" t="s">
        <v>941</v>
      </c>
      <c r="B290" s="2" t="s">
        <v>942</v>
      </c>
      <c r="C290" s="2" t="s">
        <v>5</v>
      </c>
      <c r="D290" s="2" t="s">
        <v>94</v>
      </c>
      <c r="E290" s="2" t="s">
        <v>46</v>
      </c>
      <c r="F290" s="2">
        <v>53</v>
      </c>
      <c r="G290" s="2" t="s">
        <v>32</v>
      </c>
      <c r="H290" s="3" t="s">
        <v>943</v>
      </c>
      <c r="I290" s="3" t="s">
        <v>944</v>
      </c>
      <c r="J290" s="2" t="s">
        <v>6</v>
      </c>
      <c r="K290" s="2">
        <v>128742</v>
      </c>
      <c r="L290" s="2">
        <v>1</v>
      </c>
      <c r="M290" s="2">
        <v>3</v>
      </c>
      <c r="N290" s="2" t="s">
        <v>8</v>
      </c>
      <c r="O290" s="2">
        <v>33</v>
      </c>
      <c r="P290" s="2">
        <f ca="1">ROUND((IF(I290="",TODAY(),I290)-H290)/365,1)</f>
        <v>3</v>
      </c>
      <c r="Q290" s="2" t="str">
        <f t="shared" si="4"/>
        <v>N/A</v>
      </c>
    </row>
    <row r="291" spans="1:17" x14ac:dyDescent="0.35">
      <c r="A291" s="2" t="s">
        <v>945</v>
      </c>
      <c r="B291" s="2" t="s">
        <v>946</v>
      </c>
      <c r="C291" s="2" t="s">
        <v>10</v>
      </c>
      <c r="D291" s="2" t="s">
        <v>111</v>
      </c>
      <c r="E291" s="2" t="s">
        <v>31</v>
      </c>
      <c r="F291" s="2">
        <v>34</v>
      </c>
      <c r="G291" s="2" t="s">
        <v>78</v>
      </c>
      <c r="H291" s="3" t="s">
        <v>947</v>
      </c>
      <c r="I291" s="2"/>
      <c r="J291" s="2" t="s">
        <v>8</v>
      </c>
      <c r="K291" s="2">
        <v>145328</v>
      </c>
      <c r="L291" s="2">
        <v>4</v>
      </c>
      <c r="M291" s="2">
        <v>1</v>
      </c>
      <c r="N291" s="2" t="s">
        <v>6</v>
      </c>
      <c r="O291" s="2">
        <v>4</v>
      </c>
      <c r="P291" s="2">
        <f ca="1">ROUND((IF(I291="",TODAY(),I291)-H291)/365,1)</f>
        <v>2.2000000000000002</v>
      </c>
      <c r="Q291" s="2" t="str">
        <f t="shared" si="4"/>
        <v>High</v>
      </c>
    </row>
    <row r="292" spans="1:17" x14ac:dyDescent="0.35">
      <c r="A292" s="2" t="s">
        <v>948</v>
      </c>
      <c r="B292" s="2" t="s">
        <v>949</v>
      </c>
      <c r="C292" s="2" t="s">
        <v>9</v>
      </c>
      <c r="D292" s="2" t="s">
        <v>41</v>
      </c>
      <c r="E292" s="2" t="s">
        <v>46</v>
      </c>
      <c r="F292" s="2">
        <v>29</v>
      </c>
      <c r="G292" s="2" t="s">
        <v>32</v>
      </c>
      <c r="H292" s="3" t="s">
        <v>950</v>
      </c>
      <c r="I292" s="2"/>
      <c r="J292" s="2" t="s">
        <v>8</v>
      </c>
      <c r="K292" s="2">
        <v>83471</v>
      </c>
      <c r="L292" s="2">
        <v>4</v>
      </c>
      <c r="M292" s="2">
        <v>3</v>
      </c>
      <c r="N292" s="2" t="s">
        <v>6</v>
      </c>
      <c r="O292" s="2">
        <v>39</v>
      </c>
      <c r="P292" s="2">
        <f ca="1">ROUND((IF(I292="",TODAY(),I292)-H292)/365,1)</f>
        <v>4</v>
      </c>
      <c r="Q292" s="2" t="str">
        <f t="shared" si="4"/>
        <v>Medium</v>
      </c>
    </row>
    <row r="293" spans="1:17" x14ac:dyDescent="0.35">
      <c r="A293" s="2" t="s">
        <v>951</v>
      </c>
      <c r="B293" s="2" t="s">
        <v>952</v>
      </c>
      <c r="C293" s="2" t="s">
        <v>10</v>
      </c>
      <c r="D293" s="2" t="s">
        <v>70</v>
      </c>
      <c r="E293" s="2" t="s">
        <v>46</v>
      </c>
      <c r="F293" s="2">
        <v>38</v>
      </c>
      <c r="G293" s="2" t="s">
        <v>32</v>
      </c>
      <c r="H293" s="3" t="s">
        <v>953</v>
      </c>
      <c r="I293" s="3" t="s">
        <v>954</v>
      </c>
      <c r="J293" s="2" t="s">
        <v>6</v>
      </c>
      <c r="K293" s="2">
        <v>75667</v>
      </c>
      <c r="L293" s="2">
        <v>3</v>
      </c>
      <c r="M293" s="2">
        <v>1</v>
      </c>
      <c r="N293" s="2" t="s">
        <v>8</v>
      </c>
      <c r="O293" s="2">
        <v>2</v>
      </c>
      <c r="P293" s="2">
        <f ca="1">ROUND((IF(I293="",TODAY(),I293)-H293)/365,1)</f>
        <v>1.4</v>
      </c>
      <c r="Q293" s="2" t="str">
        <f t="shared" si="4"/>
        <v>N/A</v>
      </c>
    </row>
    <row r="294" spans="1:17" x14ac:dyDescent="0.35">
      <c r="A294" s="2" t="s">
        <v>955</v>
      </c>
      <c r="B294" s="2" t="s">
        <v>956</v>
      </c>
      <c r="C294" s="2" t="s">
        <v>7</v>
      </c>
      <c r="D294" s="2" t="s">
        <v>37</v>
      </c>
      <c r="E294" s="2" t="s">
        <v>31</v>
      </c>
      <c r="F294" s="2">
        <v>48</v>
      </c>
      <c r="G294" s="2" t="s">
        <v>32</v>
      </c>
      <c r="H294" s="3" t="s">
        <v>957</v>
      </c>
      <c r="I294" s="2"/>
      <c r="J294" s="2" t="s">
        <v>8</v>
      </c>
      <c r="K294" s="2">
        <v>109852</v>
      </c>
      <c r="L294" s="2">
        <v>4</v>
      </c>
      <c r="M294" s="2">
        <v>1</v>
      </c>
      <c r="N294" s="2" t="s">
        <v>6</v>
      </c>
      <c r="O294" s="2">
        <v>9</v>
      </c>
      <c r="P294" s="2">
        <f ca="1">ROUND((IF(I294="",TODAY(),I294)-H294)/365,1)</f>
        <v>5.9</v>
      </c>
      <c r="Q294" s="2" t="str">
        <f t="shared" si="4"/>
        <v>High</v>
      </c>
    </row>
    <row r="295" spans="1:17" x14ac:dyDescent="0.35">
      <c r="A295" s="2" t="s">
        <v>958</v>
      </c>
      <c r="B295" s="2" t="s">
        <v>383</v>
      </c>
      <c r="C295" s="2" t="s">
        <v>5</v>
      </c>
      <c r="D295" s="2" t="s">
        <v>94</v>
      </c>
      <c r="E295" s="2" t="s">
        <v>46</v>
      </c>
      <c r="F295" s="2">
        <v>39</v>
      </c>
      <c r="G295" s="2" t="s">
        <v>78</v>
      </c>
      <c r="H295" s="3" t="s">
        <v>959</v>
      </c>
      <c r="I295" s="2"/>
      <c r="J295" s="2" t="s">
        <v>8</v>
      </c>
      <c r="K295" s="2">
        <v>53601</v>
      </c>
      <c r="L295" s="2">
        <v>4</v>
      </c>
      <c r="M295" s="2">
        <v>3</v>
      </c>
      <c r="N295" s="2" t="s">
        <v>8</v>
      </c>
      <c r="O295" s="2">
        <v>17</v>
      </c>
      <c r="P295" s="2">
        <f ca="1">ROUND((IF(I295="",TODAY(),I295)-H295)/365,1)</f>
        <v>6.9</v>
      </c>
      <c r="Q295" s="2" t="str">
        <f t="shared" si="4"/>
        <v>Low</v>
      </c>
    </row>
    <row r="296" spans="1:17" x14ac:dyDescent="0.35">
      <c r="A296" s="2" t="s">
        <v>960</v>
      </c>
      <c r="B296" s="2" t="s">
        <v>684</v>
      </c>
      <c r="C296" s="2" t="s">
        <v>11</v>
      </c>
      <c r="D296" s="2" t="s">
        <v>98</v>
      </c>
      <c r="E296" s="2" t="s">
        <v>46</v>
      </c>
      <c r="F296" s="2">
        <v>22</v>
      </c>
      <c r="G296" s="2" t="s">
        <v>56</v>
      </c>
      <c r="H296" s="3" t="s">
        <v>961</v>
      </c>
      <c r="I296" s="2"/>
      <c r="J296" s="2" t="s">
        <v>8</v>
      </c>
      <c r="K296" s="2">
        <v>102826</v>
      </c>
      <c r="L296" s="2">
        <v>5</v>
      </c>
      <c r="M296" s="2">
        <v>3</v>
      </c>
      <c r="N296" s="2" t="s">
        <v>8</v>
      </c>
      <c r="O296" s="2">
        <v>42</v>
      </c>
      <c r="P296" s="2">
        <f ca="1">ROUND((IF(I296="",TODAY(),I296)-H296)/365,1)</f>
        <v>5.9</v>
      </c>
      <c r="Q296" s="2" t="str">
        <f t="shared" si="4"/>
        <v>Low</v>
      </c>
    </row>
    <row r="297" spans="1:17" x14ac:dyDescent="0.35">
      <c r="A297" s="2" t="s">
        <v>962</v>
      </c>
      <c r="B297" s="2" t="s">
        <v>276</v>
      </c>
      <c r="C297" s="2" t="s">
        <v>12</v>
      </c>
      <c r="D297" s="2" t="s">
        <v>30</v>
      </c>
      <c r="E297" s="2" t="s">
        <v>46</v>
      </c>
      <c r="F297" s="2">
        <v>39</v>
      </c>
      <c r="G297" s="2" t="s">
        <v>56</v>
      </c>
      <c r="H297" s="3" t="s">
        <v>963</v>
      </c>
      <c r="I297" s="3" t="s">
        <v>964</v>
      </c>
      <c r="J297" s="2" t="s">
        <v>6</v>
      </c>
      <c r="K297" s="2">
        <v>118204</v>
      </c>
      <c r="L297" s="2">
        <v>3</v>
      </c>
      <c r="M297" s="2">
        <v>3</v>
      </c>
      <c r="N297" s="2" t="s">
        <v>6</v>
      </c>
      <c r="O297" s="2">
        <v>42</v>
      </c>
      <c r="P297" s="2">
        <f ca="1">ROUND((IF(I297="",TODAY(),I297)-H297)/365,1)</f>
        <v>1</v>
      </c>
      <c r="Q297" s="2" t="str">
        <f t="shared" si="4"/>
        <v>N/A</v>
      </c>
    </row>
    <row r="298" spans="1:17" x14ac:dyDescent="0.35">
      <c r="A298" s="2" t="s">
        <v>965</v>
      </c>
      <c r="B298" s="2" t="s">
        <v>966</v>
      </c>
      <c r="C298" s="2" t="s">
        <v>11</v>
      </c>
      <c r="D298" s="2" t="s">
        <v>45</v>
      </c>
      <c r="E298" s="2" t="s">
        <v>31</v>
      </c>
      <c r="F298" s="2">
        <v>42</v>
      </c>
      <c r="G298" s="2" t="s">
        <v>78</v>
      </c>
      <c r="H298" s="3" t="s">
        <v>967</v>
      </c>
      <c r="I298" s="3" t="s">
        <v>968</v>
      </c>
      <c r="J298" s="2" t="s">
        <v>6</v>
      </c>
      <c r="K298" s="2">
        <v>59003</v>
      </c>
      <c r="L298" s="2">
        <v>4</v>
      </c>
      <c r="M298" s="2">
        <v>1</v>
      </c>
      <c r="N298" s="2" t="s">
        <v>6</v>
      </c>
      <c r="O298" s="2">
        <v>19</v>
      </c>
      <c r="P298" s="2">
        <f ca="1">ROUND((IF(I298="",TODAY(),I298)-H298)/365,1)</f>
        <v>0.4</v>
      </c>
      <c r="Q298" s="2" t="str">
        <f t="shared" si="4"/>
        <v>N/A</v>
      </c>
    </row>
    <row r="299" spans="1:17" x14ac:dyDescent="0.35">
      <c r="A299" s="2" t="s">
        <v>969</v>
      </c>
      <c r="B299" s="2" t="s">
        <v>970</v>
      </c>
      <c r="C299" s="2" t="s">
        <v>11</v>
      </c>
      <c r="D299" s="2" t="s">
        <v>98</v>
      </c>
      <c r="E299" s="2" t="s">
        <v>31</v>
      </c>
      <c r="F299" s="2">
        <v>56</v>
      </c>
      <c r="G299" s="2" t="s">
        <v>32</v>
      </c>
      <c r="H299" s="3" t="s">
        <v>971</v>
      </c>
      <c r="I299" s="2"/>
      <c r="J299" s="2" t="s">
        <v>8</v>
      </c>
      <c r="K299" s="2">
        <v>135810</v>
      </c>
      <c r="L299" s="2">
        <v>5</v>
      </c>
      <c r="M299" s="2">
        <v>3</v>
      </c>
      <c r="N299" s="2" t="s">
        <v>8</v>
      </c>
      <c r="O299" s="2">
        <v>20</v>
      </c>
      <c r="P299" s="2">
        <f ca="1">ROUND((IF(I299="",TODAY(),I299)-H299)/365,1)</f>
        <v>4.4000000000000004</v>
      </c>
      <c r="Q299" s="2" t="str">
        <f t="shared" si="4"/>
        <v>Low</v>
      </c>
    </row>
    <row r="300" spans="1:17" x14ac:dyDescent="0.35">
      <c r="A300" s="2" t="s">
        <v>972</v>
      </c>
      <c r="B300" s="2" t="s">
        <v>973</v>
      </c>
      <c r="C300" s="2" t="s">
        <v>11</v>
      </c>
      <c r="D300" s="2" t="s">
        <v>45</v>
      </c>
      <c r="E300" s="2" t="s">
        <v>46</v>
      </c>
      <c r="F300" s="2">
        <v>30</v>
      </c>
      <c r="G300" s="2" t="s">
        <v>78</v>
      </c>
      <c r="H300" s="3" t="s">
        <v>974</v>
      </c>
      <c r="I300" s="2"/>
      <c r="J300" s="2" t="s">
        <v>8</v>
      </c>
      <c r="K300" s="2">
        <v>142911</v>
      </c>
      <c r="L300" s="2">
        <v>2</v>
      </c>
      <c r="M300" s="2">
        <v>5</v>
      </c>
      <c r="N300" s="2" t="s">
        <v>6</v>
      </c>
      <c r="O300" s="2">
        <v>44</v>
      </c>
      <c r="P300" s="2">
        <f ca="1">ROUND((IF(I300="",TODAY(),I300)-H300)/365,1)</f>
        <v>3.3</v>
      </c>
      <c r="Q300" s="2" t="str">
        <f t="shared" si="4"/>
        <v>Medium</v>
      </c>
    </row>
    <row r="301" spans="1:17" x14ac:dyDescent="0.35">
      <c r="A301" s="2" t="s">
        <v>975</v>
      </c>
      <c r="B301" s="2" t="s">
        <v>625</v>
      </c>
      <c r="C301" s="2" t="s">
        <v>7</v>
      </c>
      <c r="D301" s="2" t="s">
        <v>125</v>
      </c>
      <c r="E301" s="2" t="s">
        <v>31</v>
      </c>
      <c r="F301" s="2">
        <v>43</v>
      </c>
      <c r="G301" s="2" t="s">
        <v>32</v>
      </c>
      <c r="H301" s="3" t="s">
        <v>976</v>
      </c>
      <c r="I301" s="2"/>
      <c r="J301" s="2" t="s">
        <v>8</v>
      </c>
      <c r="K301" s="2">
        <v>86674</v>
      </c>
      <c r="L301" s="2">
        <v>4</v>
      </c>
      <c r="M301" s="2">
        <v>3</v>
      </c>
      <c r="N301" s="2" t="s">
        <v>6</v>
      </c>
      <c r="O301" s="2">
        <v>8</v>
      </c>
      <c r="P301" s="2">
        <f ca="1">ROUND((IF(I301="",TODAY(),I301)-H301)/365,1)</f>
        <v>7.4</v>
      </c>
      <c r="Q301" s="2" t="str">
        <f t="shared" si="4"/>
        <v>Medium</v>
      </c>
    </row>
    <row r="302" spans="1:17" x14ac:dyDescent="0.35">
      <c r="A302" s="2" t="s">
        <v>977</v>
      </c>
      <c r="B302" s="2" t="s">
        <v>978</v>
      </c>
      <c r="C302" s="2" t="s">
        <v>11</v>
      </c>
      <c r="D302" s="2" t="s">
        <v>98</v>
      </c>
      <c r="E302" s="2" t="s">
        <v>31</v>
      </c>
      <c r="F302" s="2">
        <v>54</v>
      </c>
      <c r="G302" s="2" t="s">
        <v>32</v>
      </c>
      <c r="H302" s="3" t="s">
        <v>979</v>
      </c>
      <c r="I302" s="2"/>
      <c r="J302" s="2" t="s">
        <v>8</v>
      </c>
      <c r="K302" s="2">
        <v>79146</v>
      </c>
      <c r="L302" s="2">
        <v>5</v>
      </c>
      <c r="M302" s="2">
        <v>4</v>
      </c>
      <c r="N302" s="2" t="s">
        <v>8</v>
      </c>
      <c r="O302" s="2">
        <v>20</v>
      </c>
      <c r="P302" s="2">
        <f ca="1">ROUND((IF(I302="",TODAY(),I302)-H302)/365,1)</f>
        <v>10.3</v>
      </c>
      <c r="Q302" s="2" t="str">
        <f t="shared" si="4"/>
        <v>Low</v>
      </c>
    </row>
    <row r="303" spans="1:17" x14ac:dyDescent="0.35">
      <c r="A303" s="2" t="s">
        <v>980</v>
      </c>
      <c r="B303" s="2" t="s">
        <v>981</v>
      </c>
      <c r="C303" s="2" t="s">
        <v>7</v>
      </c>
      <c r="D303" s="2" t="s">
        <v>155</v>
      </c>
      <c r="E303" s="2" t="s">
        <v>31</v>
      </c>
      <c r="F303" s="2">
        <v>58</v>
      </c>
      <c r="G303" s="2" t="s">
        <v>56</v>
      </c>
      <c r="H303" s="3" t="s">
        <v>982</v>
      </c>
      <c r="I303" s="2"/>
      <c r="J303" s="2" t="s">
        <v>8</v>
      </c>
      <c r="K303" s="2">
        <v>138035</v>
      </c>
      <c r="L303" s="2">
        <v>2</v>
      </c>
      <c r="M303" s="2">
        <v>4</v>
      </c>
      <c r="N303" s="2" t="s">
        <v>8</v>
      </c>
      <c r="O303" s="2">
        <v>21</v>
      </c>
      <c r="P303" s="2">
        <f ca="1">ROUND((IF(I303="",TODAY(),I303)-H303)/365,1)</f>
        <v>1.6</v>
      </c>
      <c r="Q303" s="2" t="str">
        <f t="shared" si="4"/>
        <v>Low</v>
      </c>
    </row>
    <row r="304" spans="1:17" x14ac:dyDescent="0.35">
      <c r="A304" s="2" t="s">
        <v>983</v>
      </c>
      <c r="B304" s="2" t="s">
        <v>984</v>
      </c>
      <c r="C304" s="2" t="s">
        <v>5</v>
      </c>
      <c r="D304" s="2" t="s">
        <v>207</v>
      </c>
      <c r="E304" s="2" t="s">
        <v>46</v>
      </c>
      <c r="F304" s="2">
        <v>25</v>
      </c>
      <c r="G304" s="2" t="s">
        <v>32</v>
      </c>
      <c r="H304" s="3" t="s">
        <v>985</v>
      </c>
      <c r="I304" s="2"/>
      <c r="J304" s="2" t="s">
        <v>8</v>
      </c>
      <c r="K304" s="2">
        <v>125202</v>
      </c>
      <c r="L304" s="2">
        <v>2</v>
      </c>
      <c r="M304" s="2">
        <v>2</v>
      </c>
      <c r="N304" s="2" t="s">
        <v>8</v>
      </c>
      <c r="O304" s="2">
        <v>37</v>
      </c>
      <c r="P304" s="2">
        <f ca="1">ROUND((IF(I304="",TODAY(),I304)-H304)/365,1)</f>
        <v>11.6</v>
      </c>
      <c r="Q304" s="2" t="str">
        <f t="shared" si="4"/>
        <v>Medium</v>
      </c>
    </row>
    <row r="305" spans="1:17" x14ac:dyDescent="0.35">
      <c r="A305" s="2" t="s">
        <v>986</v>
      </c>
      <c r="B305" s="2" t="s">
        <v>987</v>
      </c>
      <c r="C305" s="2" t="s">
        <v>5</v>
      </c>
      <c r="D305" s="2" t="s">
        <v>94</v>
      </c>
      <c r="E305" s="2" t="s">
        <v>46</v>
      </c>
      <c r="F305" s="2">
        <v>49</v>
      </c>
      <c r="G305" s="2" t="s">
        <v>78</v>
      </c>
      <c r="H305" s="3" t="s">
        <v>988</v>
      </c>
      <c r="I305" s="2"/>
      <c r="J305" s="2" t="s">
        <v>8</v>
      </c>
      <c r="K305" s="2">
        <v>120768</v>
      </c>
      <c r="L305" s="2">
        <v>5</v>
      </c>
      <c r="M305" s="2">
        <v>1</v>
      </c>
      <c r="N305" s="2" t="s">
        <v>8</v>
      </c>
      <c r="O305" s="2">
        <v>13</v>
      </c>
      <c r="P305" s="2">
        <f ca="1">ROUND((IF(I305="",TODAY(),I305)-H305)/365,1)</f>
        <v>6.3</v>
      </c>
      <c r="Q305" s="2" t="str">
        <f t="shared" si="4"/>
        <v>Medium</v>
      </c>
    </row>
    <row r="306" spans="1:17" x14ac:dyDescent="0.35">
      <c r="A306" s="2" t="s">
        <v>989</v>
      </c>
      <c r="B306" s="2" t="s">
        <v>990</v>
      </c>
      <c r="C306" s="2" t="s">
        <v>9</v>
      </c>
      <c r="D306" s="2" t="s">
        <v>77</v>
      </c>
      <c r="E306" s="2" t="s">
        <v>31</v>
      </c>
      <c r="F306" s="2">
        <v>37</v>
      </c>
      <c r="G306" s="2" t="s">
        <v>78</v>
      </c>
      <c r="H306" s="3" t="s">
        <v>387</v>
      </c>
      <c r="I306" s="2"/>
      <c r="J306" s="2" t="s">
        <v>8</v>
      </c>
      <c r="K306" s="2">
        <v>38462</v>
      </c>
      <c r="L306" s="2">
        <v>3</v>
      </c>
      <c r="M306" s="2">
        <v>3</v>
      </c>
      <c r="N306" s="2" t="s">
        <v>8</v>
      </c>
      <c r="O306" s="2">
        <v>9</v>
      </c>
      <c r="P306" s="2">
        <f ca="1">ROUND((IF(I306="",TODAY(),I306)-H306)/365,1)</f>
        <v>9.1</v>
      </c>
      <c r="Q306" s="2" t="str">
        <f t="shared" si="4"/>
        <v>Low</v>
      </c>
    </row>
    <row r="307" spans="1:17" x14ac:dyDescent="0.35">
      <c r="A307" s="2" t="s">
        <v>991</v>
      </c>
      <c r="B307" s="2" t="s">
        <v>992</v>
      </c>
      <c r="C307" s="2" t="s">
        <v>9</v>
      </c>
      <c r="D307" s="2" t="s">
        <v>51</v>
      </c>
      <c r="E307" s="2" t="s">
        <v>31</v>
      </c>
      <c r="F307" s="2">
        <v>40</v>
      </c>
      <c r="G307" s="2" t="s">
        <v>56</v>
      </c>
      <c r="H307" s="3" t="s">
        <v>993</v>
      </c>
      <c r="I307" s="2"/>
      <c r="J307" s="2" t="s">
        <v>8</v>
      </c>
      <c r="K307" s="2">
        <v>81841</v>
      </c>
      <c r="L307" s="2">
        <v>5</v>
      </c>
      <c r="M307" s="2">
        <v>5</v>
      </c>
      <c r="N307" s="2" t="s">
        <v>8</v>
      </c>
      <c r="O307" s="2">
        <v>22</v>
      </c>
      <c r="P307" s="2">
        <f ca="1">ROUND((IF(I307="",TODAY(),I307)-H307)/365,1)</f>
        <v>6.5</v>
      </c>
      <c r="Q307" s="2" t="str">
        <f t="shared" si="4"/>
        <v>Low</v>
      </c>
    </row>
    <row r="308" spans="1:17" x14ac:dyDescent="0.35">
      <c r="A308" s="2" t="s">
        <v>994</v>
      </c>
      <c r="B308" s="2" t="s">
        <v>867</v>
      </c>
      <c r="C308" s="2" t="s">
        <v>9</v>
      </c>
      <c r="D308" s="2" t="s">
        <v>41</v>
      </c>
      <c r="E308" s="2" t="s">
        <v>46</v>
      </c>
      <c r="F308" s="2">
        <v>47</v>
      </c>
      <c r="G308" s="2" t="s">
        <v>56</v>
      </c>
      <c r="H308" s="3" t="s">
        <v>995</v>
      </c>
      <c r="I308" s="3" t="s">
        <v>996</v>
      </c>
      <c r="J308" s="2" t="s">
        <v>6</v>
      </c>
      <c r="K308" s="2">
        <v>102292</v>
      </c>
      <c r="L308" s="2">
        <v>2</v>
      </c>
      <c r="M308" s="2">
        <v>2</v>
      </c>
      <c r="N308" s="2" t="s">
        <v>6</v>
      </c>
      <c r="O308" s="2">
        <v>2</v>
      </c>
      <c r="P308" s="2">
        <f ca="1">ROUND((IF(I308="",TODAY(),I308)-H308)/365,1)</f>
        <v>8.4</v>
      </c>
      <c r="Q308" s="2" t="str">
        <f t="shared" si="4"/>
        <v>N/A</v>
      </c>
    </row>
    <row r="309" spans="1:17" x14ac:dyDescent="0.35">
      <c r="A309" s="2" t="s">
        <v>997</v>
      </c>
      <c r="B309" s="2" t="s">
        <v>621</v>
      </c>
      <c r="C309" s="2" t="s">
        <v>12</v>
      </c>
      <c r="D309" s="2" t="s">
        <v>55</v>
      </c>
      <c r="E309" s="2" t="s">
        <v>31</v>
      </c>
      <c r="F309" s="2">
        <v>56</v>
      </c>
      <c r="G309" s="2" t="s">
        <v>32</v>
      </c>
      <c r="H309" s="3" t="s">
        <v>998</v>
      </c>
      <c r="I309" s="3" t="s">
        <v>999</v>
      </c>
      <c r="J309" s="2" t="s">
        <v>6</v>
      </c>
      <c r="K309" s="2">
        <v>134591</v>
      </c>
      <c r="L309" s="2">
        <v>1</v>
      </c>
      <c r="M309" s="2">
        <v>1</v>
      </c>
      <c r="N309" s="2" t="s">
        <v>6</v>
      </c>
      <c r="O309" s="2">
        <v>42</v>
      </c>
      <c r="P309" s="2">
        <f ca="1">ROUND((IF(I309="",TODAY(),I309)-H309)/365,1)</f>
        <v>0.8</v>
      </c>
      <c r="Q309" s="2" t="str">
        <f t="shared" si="4"/>
        <v>N/A</v>
      </c>
    </row>
    <row r="310" spans="1:17" x14ac:dyDescent="0.35">
      <c r="A310" s="2" t="s">
        <v>1000</v>
      </c>
      <c r="B310" s="2" t="s">
        <v>854</v>
      </c>
      <c r="C310" s="2" t="s">
        <v>10</v>
      </c>
      <c r="D310" s="2" t="s">
        <v>258</v>
      </c>
      <c r="E310" s="2" t="s">
        <v>46</v>
      </c>
      <c r="F310" s="2">
        <v>38</v>
      </c>
      <c r="G310" s="2" t="s">
        <v>56</v>
      </c>
      <c r="H310" s="3" t="s">
        <v>1001</v>
      </c>
      <c r="I310" s="3" t="s">
        <v>670</v>
      </c>
      <c r="J310" s="2" t="s">
        <v>6</v>
      </c>
      <c r="K310" s="2">
        <v>80164</v>
      </c>
      <c r="L310" s="2">
        <v>1</v>
      </c>
      <c r="M310" s="2">
        <v>2</v>
      </c>
      <c r="N310" s="2" t="s">
        <v>8</v>
      </c>
      <c r="O310" s="2">
        <v>20</v>
      </c>
      <c r="P310" s="2">
        <f ca="1">ROUND((IF(I310="",TODAY(),I310)-H310)/365,1)</f>
        <v>6</v>
      </c>
      <c r="Q310" s="2" t="str">
        <f t="shared" si="4"/>
        <v>N/A</v>
      </c>
    </row>
    <row r="311" spans="1:17" x14ac:dyDescent="0.35">
      <c r="A311" s="2" t="s">
        <v>1002</v>
      </c>
      <c r="B311" s="2" t="s">
        <v>261</v>
      </c>
      <c r="C311" s="2" t="s">
        <v>9</v>
      </c>
      <c r="D311" s="2" t="s">
        <v>77</v>
      </c>
      <c r="E311" s="2" t="s">
        <v>31</v>
      </c>
      <c r="F311" s="2">
        <v>54</v>
      </c>
      <c r="G311" s="2" t="s">
        <v>32</v>
      </c>
      <c r="H311" s="3" t="s">
        <v>1003</v>
      </c>
      <c r="I311" s="2"/>
      <c r="J311" s="2" t="s">
        <v>8</v>
      </c>
      <c r="K311" s="2">
        <v>90239</v>
      </c>
      <c r="L311" s="2">
        <v>1</v>
      </c>
      <c r="M311" s="2">
        <v>3</v>
      </c>
      <c r="N311" s="2" t="s">
        <v>8</v>
      </c>
      <c r="O311" s="2">
        <v>7</v>
      </c>
      <c r="P311" s="2">
        <f ca="1">ROUND((IF(I311="",TODAY(),I311)-H311)/365,1)</f>
        <v>3.5</v>
      </c>
      <c r="Q311" s="2" t="str">
        <f t="shared" si="4"/>
        <v>Low</v>
      </c>
    </row>
    <row r="312" spans="1:17" x14ac:dyDescent="0.35">
      <c r="A312" s="2" t="s">
        <v>1004</v>
      </c>
      <c r="B312" s="2" t="s">
        <v>164</v>
      </c>
      <c r="C312" s="2" t="s">
        <v>9</v>
      </c>
      <c r="D312" s="2" t="s">
        <v>77</v>
      </c>
      <c r="E312" s="2" t="s">
        <v>31</v>
      </c>
      <c r="F312" s="2">
        <v>40</v>
      </c>
      <c r="G312" s="2" t="s">
        <v>78</v>
      </c>
      <c r="H312" s="3" t="s">
        <v>1005</v>
      </c>
      <c r="I312" s="2"/>
      <c r="J312" s="2" t="s">
        <v>8</v>
      </c>
      <c r="K312" s="2">
        <v>147306</v>
      </c>
      <c r="L312" s="2">
        <v>2</v>
      </c>
      <c r="M312" s="2">
        <v>4</v>
      </c>
      <c r="N312" s="2" t="s">
        <v>6</v>
      </c>
      <c r="O312" s="2">
        <v>45</v>
      </c>
      <c r="P312" s="2">
        <f ca="1">ROUND((IF(I312="",TODAY(),I312)-H312)/365,1)</f>
        <v>9.8000000000000007</v>
      </c>
      <c r="Q312" s="2" t="str">
        <f t="shared" si="4"/>
        <v>Medium</v>
      </c>
    </row>
    <row r="313" spans="1:17" x14ac:dyDescent="0.35">
      <c r="A313" s="2" t="s">
        <v>1006</v>
      </c>
      <c r="B313" s="2" t="s">
        <v>1007</v>
      </c>
      <c r="C313" s="2" t="s">
        <v>5</v>
      </c>
      <c r="D313" s="2" t="s">
        <v>94</v>
      </c>
      <c r="E313" s="2" t="s">
        <v>31</v>
      </c>
      <c r="F313" s="2">
        <v>53</v>
      </c>
      <c r="G313" s="2" t="s">
        <v>78</v>
      </c>
      <c r="H313" s="3" t="s">
        <v>1008</v>
      </c>
      <c r="I313" s="2"/>
      <c r="J313" s="2" t="s">
        <v>8</v>
      </c>
      <c r="K313" s="2">
        <v>143591</v>
      </c>
      <c r="L313" s="2">
        <v>1</v>
      </c>
      <c r="M313" s="2">
        <v>5</v>
      </c>
      <c r="N313" s="2" t="s">
        <v>8</v>
      </c>
      <c r="O313" s="2">
        <v>7</v>
      </c>
      <c r="P313" s="2">
        <f ca="1">ROUND((IF(I313="",TODAY(),I313)-H313)/365,1)</f>
        <v>9.9</v>
      </c>
      <c r="Q313" s="2" t="str">
        <f t="shared" si="4"/>
        <v>Low</v>
      </c>
    </row>
    <row r="314" spans="1:17" x14ac:dyDescent="0.35">
      <c r="A314" s="2" t="s">
        <v>1009</v>
      </c>
      <c r="B314" s="2" t="s">
        <v>496</v>
      </c>
      <c r="C314" s="2" t="s">
        <v>10</v>
      </c>
      <c r="D314" s="2" t="s">
        <v>258</v>
      </c>
      <c r="E314" s="2" t="s">
        <v>46</v>
      </c>
      <c r="F314" s="2">
        <v>28</v>
      </c>
      <c r="G314" s="2" t="s">
        <v>56</v>
      </c>
      <c r="H314" s="3" t="s">
        <v>1010</v>
      </c>
      <c r="I314" s="3" t="s">
        <v>1011</v>
      </c>
      <c r="J314" s="2" t="s">
        <v>6</v>
      </c>
      <c r="K314" s="2">
        <v>130066</v>
      </c>
      <c r="L314" s="2">
        <v>3</v>
      </c>
      <c r="M314" s="2">
        <v>1</v>
      </c>
      <c r="N314" s="2" t="s">
        <v>6</v>
      </c>
      <c r="O314" s="2">
        <v>24</v>
      </c>
      <c r="P314" s="2">
        <f ca="1">ROUND((IF(I314="",TODAY(),I314)-H314)/365,1)</f>
        <v>2.2000000000000002</v>
      </c>
      <c r="Q314" s="2" t="str">
        <f t="shared" si="4"/>
        <v>N/A</v>
      </c>
    </row>
    <row r="315" spans="1:17" x14ac:dyDescent="0.35">
      <c r="A315" s="2" t="s">
        <v>1012</v>
      </c>
      <c r="B315" s="2" t="s">
        <v>499</v>
      </c>
      <c r="C315" s="2" t="s">
        <v>5</v>
      </c>
      <c r="D315" s="2" t="s">
        <v>94</v>
      </c>
      <c r="E315" s="2" t="s">
        <v>31</v>
      </c>
      <c r="F315" s="2">
        <v>32</v>
      </c>
      <c r="G315" s="2" t="s">
        <v>56</v>
      </c>
      <c r="H315" s="3" t="s">
        <v>1013</v>
      </c>
      <c r="I315" s="3" t="s">
        <v>1014</v>
      </c>
      <c r="J315" s="2" t="s">
        <v>6</v>
      </c>
      <c r="K315" s="2">
        <v>140143</v>
      </c>
      <c r="L315" s="2">
        <v>5</v>
      </c>
      <c r="M315" s="2">
        <v>4</v>
      </c>
      <c r="N315" s="2" t="s">
        <v>8</v>
      </c>
      <c r="O315" s="2">
        <v>18</v>
      </c>
      <c r="P315" s="2">
        <f ca="1">ROUND((IF(I315="",TODAY(),I315)-H315)/365,1)</f>
        <v>4</v>
      </c>
      <c r="Q315" s="2" t="str">
        <f t="shared" si="4"/>
        <v>N/A</v>
      </c>
    </row>
    <row r="316" spans="1:17" x14ac:dyDescent="0.35">
      <c r="A316" s="2" t="s">
        <v>1015</v>
      </c>
      <c r="B316" s="2" t="s">
        <v>62</v>
      </c>
      <c r="C316" s="2" t="s">
        <v>7</v>
      </c>
      <c r="D316" s="2" t="s">
        <v>155</v>
      </c>
      <c r="E316" s="2" t="s">
        <v>46</v>
      </c>
      <c r="F316" s="2">
        <v>39</v>
      </c>
      <c r="G316" s="2" t="s">
        <v>32</v>
      </c>
      <c r="H316" s="3" t="s">
        <v>1016</v>
      </c>
      <c r="I316" s="3" t="s">
        <v>1017</v>
      </c>
      <c r="J316" s="2" t="s">
        <v>6</v>
      </c>
      <c r="K316" s="2">
        <v>141146</v>
      </c>
      <c r="L316" s="2">
        <v>4</v>
      </c>
      <c r="M316" s="2">
        <v>4</v>
      </c>
      <c r="N316" s="2" t="s">
        <v>8</v>
      </c>
      <c r="O316" s="2">
        <v>42</v>
      </c>
      <c r="P316" s="2">
        <f ca="1">ROUND((IF(I316="",TODAY(),I316)-H316)/365,1)</f>
        <v>2.1</v>
      </c>
      <c r="Q316" s="2" t="str">
        <f t="shared" si="4"/>
        <v>N/A</v>
      </c>
    </row>
    <row r="317" spans="1:17" x14ac:dyDescent="0.35">
      <c r="A317" s="2" t="s">
        <v>1018</v>
      </c>
      <c r="B317" s="2" t="s">
        <v>1019</v>
      </c>
      <c r="C317" s="2" t="s">
        <v>12</v>
      </c>
      <c r="D317" s="2" t="s">
        <v>30</v>
      </c>
      <c r="E317" s="2" t="s">
        <v>31</v>
      </c>
      <c r="F317" s="2">
        <v>52</v>
      </c>
      <c r="G317" s="2" t="s">
        <v>78</v>
      </c>
      <c r="H317" s="3" t="s">
        <v>1020</v>
      </c>
      <c r="I317" s="2"/>
      <c r="J317" s="2" t="s">
        <v>8</v>
      </c>
      <c r="K317" s="2">
        <v>74774</v>
      </c>
      <c r="L317" s="2">
        <v>2</v>
      </c>
      <c r="M317" s="2">
        <v>4</v>
      </c>
      <c r="N317" s="2" t="s">
        <v>8</v>
      </c>
      <c r="O317" s="2">
        <v>40</v>
      </c>
      <c r="P317" s="2">
        <f ca="1">ROUND((IF(I317="",TODAY(),I317)-H317)/365,1)</f>
        <v>2.6</v>
      </c>
      <c r="Q317" s="2" t="str">
        <f t="shared" si="4"/>
        <v>Low</v>
      </c>
    </row>
    <row r="318" spans="1:17" x14ac:dyDescent="0.35">
      <c r="A318" s="2" t="s">
        <v>1021</v>
      </c>
      <c r="B318" s="2" t="s">
        <v>1022</v>
      </c>
      <c r="C318" s="2" t="s">
        <v>12</v>
      </c>
      <c r="D318" s="2" t="s">
        <v>55</v>
      </c>
      <c r="E318" s="2" t="s">
        <v>31</v>
      </c>
      <c r="F318" s="2">
        <v>29</v>
      </c>
      <c r="G318" s="2" t="s">
        <v>78</v>
      </c>
      <c r="H318" s="3" t="s">
        <v>1023</v>
      </c>
      <c r="I318" s="3" t="s">
        <v>1024</v>
      </c>
      <c r="J318" s="2" t="s">
        <v>6</v>
      </c>
      <c r="K318" s="2">
        <v>110848</v>
      </c>
      <c r="L318" s="2">
        <v>1</v>
      </c>
      <c r="M318" s="2">
        <v>1</v>
      </c>
      <c r="N318" s="2" t="s">
        <v>8</v>
      </c>
      <c r="O318" s="2">
        <v>17</v>
      </c>
      <c r="P318" s="2">
        <f ca="1">ROUND((IF(I318="",TODAY(),I318)-H318)/365,1)</f>
        <v>1.6</v>
      </c>
      <c r="Q318" s="2" t="str">
        <f t="shared" si="4"/>
        <v>N/A</v>
      </c>
    </row>
    <row r="319" spans="1:17" x14ac:dyDescent="0.35">
      <c r="A319" s="2" t="s">
        <v>1025</v>
      </c>
      <c r="B319" s="2" t="s">
        <v>1026</v>
      </c>
      <c r="C319" s="2" t="s">
        <v>12</v>
      </c>
      <c r="D319" s="2" t="s">
        <v>55</v>
      </c>
      <c r="E319" s="2" t="s">
        <v>31</v>
      </c>
      <c r="F319" s="2">
        <v>55</v>
      </c>
      <c r="G319" s="2" t="s">
        <v>32</v>
      </c>
      <c r="H319" s="3" t="s">
        <v>1027</v>
      </c>
      <c r="I319" s="2"/>
      <c r="J319" s="2" t="s">
        <v>8</v>
      </c>
      <c r="K319" s="2">
        <v>120243</v>
      </c>
      <c r="L319" s="2">
        <v>4</v>
      </c>
      <c r="M319" s="2">
        <v>1</v>
      </c>
      <c r="N319" s="2" t="s">
        <v>8</v>
      </c>
      <c r="O319" s="2">
        <v>43</v>
      </c>
      <c r="P319" s="2">
        <f ca="1">ROUND((IF(I319="",TODAY(),I319)-H319)/365,1)</f>
        <v>3.9</v>
      </c>
      <c r="Q319" s="2" t="str">
        <f t="shared" si="4"/>
        <v>Medium</v>
      </c>
    </row>
    <row r="320" spans="1:17" x14ac:dyDescent="0.35">
      <c r="A320" s="2" t="s">
        <v>1028</v>
      </c>
      <c r="B320" s="2" t="s">
        <v>1029</v>
      </c>
      <c r="C320" s="2" t="s">
        <v>12</v>
      </c>
      <c r="D320" s="2" t="s">
        <v>55</v>
      </c>
      <c r="E320" s="2" t="s">
        <v>46</v>
      </c>
      <c r="F320" s="2">
        <v>25</v>
      </c>
      <c r="G320" s="2" t="s">
        <v>78</v>
      </c>
      <c r="H320" s="3" t="s">
        <v>1030</v>
      </c>
      <c r="I320" s="2"/>
      <c r="J320" s="2" t="s">
        <v>8</v>
      </c>
      <c r="K320" s="2">
        <v>136656</v>
      </c>
      <c r="L320" s="2">
        <v>5</v>
      </c>
      <c r="M320" s="2">
        <v>2</v>
      </c>
      <c r="N320" s="2" t="s">
        <v>8</v>
      </c>
      <c r="O320" s="2">
        <v>31</v>
      </c>
      <c r="P320" s="2">
        <f ca="1">ROUND((IF(I320="",TODAY(),I320)-H320)/365,1)</f>
        <v>11.5</v>
      </c>
      <c r="Q320" s="2" t="str">
        <f t="shared" si="4"/>
        <v>Medium</v>
      </c>
    </row>
    <row r="321" spans="1:17" x14ac:dyDescent="0.35">
      <c r="A321" s="2" t="s">
        <v>1031</v>
      </c>
      <c r="B321" s="2" t="s">
        <v>414</v>
      </c>
      <c r="C321" s="2" t="s">
        <v>5</v>
      </c>
      <c r="D321" s="2" t="s">
        <v>207</v>
      </c>
      <c r="E321" s="2" t="s">
        <v>46</v>
      </c>
      <c r="F321" s="2">
        <v>39</v>
      </c>
      <c r="G321" s="2" t="s">
        <v>32</v>
      </c>
      <c r="H321" s="3" t="s">
        <v>1032</v>
      </c>
      <c r="I321" s="3" t="s">
        <v>914</v>
      </c>
      <c r="J321" s="2" t="s">
        <v>6</v>
      </c>
      <c r="K321" s="2">
        <v>132099</v>
      </c>
      <c r="L321" s="2">
        <v>4</v>
      </c>
      <c r="M321" s="2">
        <v>5</v>
      </c>
      <c r="N321" s="2" t="s">
        <v>8</v>
      </c>
      <c r="O321" s="2">
        <v>26</v>
      </c>
      <c r="P321" s="2">
        <f ca="1">ROUND((IF(I321="",TODAY(),I321)-H321)/365,1)</f>
        <v>5.0999999999999996</v>
      </c>
      <c r="Q321" s="2" t="str">
        <f t="shared" si="4"/>
        <v>N/A</v>
      </c>
    </row>
    <row r="322" spans="1:17" x14ac:dyDescent="0.35">
      <c r="A322" s="2" t="s">
        <v>1033</v>
      </c>
      <c r="B322" s="2" t="s">
        <v>1034</v>
      </c>
      <c r="C322" s="2" t="s">
        <v>11</v>
      </c>
      <c r="D322" s="2" t="s">
        <v>66</v>
      </c>
      <c r="E322" s="2" t="s">
        <v>31</v>
      </c>
      <c r="F322" s="2">
        <v>42</v>
      </c>
      <c r="G322" s="2" t="s">
        <v>32</v>
      </c>
      <c r="H322" s="3" t="s">
        <v>1035</v>
      </c>
      <c r="I322" s="2"/>
      <c r="J322" s="2" t="s">
        <v>8</v>
      </c>
      <c r="K322" s="2">
        <v>79046</v>
      </c>
      <c r="L322" s="2">
        <v>1</v>
      </c>
      <c r="M322" s="2">
        <v>1</v>
      </c>
      <c r="N322" s="2" t="s">
        <v>8</v>
      </c>
      <c r="O322" s="2">
        <v>26</v>
      </c>
      <c r="P322" s="2">
        <f ca="1">ROUND((IF(I322="",TODAY(),I322)-H322)/365,1)</f>
        <v>10.3</v>
      </c>
      <c r="Q322" s="2" t="str">
        <f t="shared" ref="Q322:Q385" si="5">IF(J322="No",IF(AND(M322&lt;=2,N322="Yes"),"High",IF(OR(M322&lt;=2,N322="Yes"),"Medium","Low")),"N/A")</f>
        <v>Medium</v>
      </c>
    </row>
    <row r="323" spans="1:17" x14ac:dyDescent="0.35">
      <c r="A323" s="2" t="s">
        <v>1036</v>
      </c>
      <c r="B323" s="2" t="s">
        <v>1037</v>
      </c>
      <c r="C323" s="2" t="s">
        <v>5</v>
      </c>
      <c r="D323" s="2" t="s">
        <v>94</v>
      </c>
      <c r="E323" s="2" t="s">
        <v>46</v>
      </c>
      <c r="F323" s="2">
        <v>35</v>
      </c>
      <c r="G323" s="2" t="s">
        <v>32</v>
      </c>
      <c r="H323" s="3" t="s">
        <v>1038</v>
      </c>
      <c r="I323" s="2"/>
      <c r="J323" s="2" t="s">
        <v>8</v>
      </c>
      <c r="K323" s="2">
        <v>132031</v>
      </c>
      <c r="L323" s="2">
        <v>3</v>
      </c>
      <c r="M323" s="2">
        <v>3</v>
      </c>
      <c r="N323" s="2" t="s">
        <v>8</v>
      </c>
      <c r="O323" s="2">
        <v>4</v>
      </c>
      <c r="P323" s="2">
        <f ca="1">ROUND((IF(I323="",TODAY(),I323)-H323)/365,1)</f>
        <v>4.3</v>
      </c>
      <c r="Q323" s="2" t="str">
        <f t="shared" si="5"/>
        <v>Low</v>
      </c>
    </row>
    <row r="324" spans="1:17" x14ac:dyDescent="0.35">
      <c r="A324" s="2" t="s">
        <v>1039</v>
      </c>
      <c r="B324" s="2" t="s">
        <v>503</v>
      </c>
      <c r="C324" s="2" t="s">
        <v>9</v>
      </c>
      <c r="D324" s="2" t="s">
        <v>77</v>
      </c>
      <c r="E324" s="2" t="s">
        <v>46</v>
      </c>
      <c r="F324" s="2">
        <v>29</v>
      </c>
      <c r="G324" s="2" t="s">
        <v>56</v>
      </c>
      <c r="H324" s="3" t="s">
        <v>1040</v>
      </c>
      <c r="I324" s="2"/>
      <c r="J324" s="2" t="s">
        <v>8</v>
      </c>
      <c r="K324" s="2">
        <v>71548</v>
      </c>
      <c r="L324" s="2">
        <v>1</v>
      </c>
      <c r="M324" s="2">
        <v>2</v>
      </c>
      <c r="N324" s="2" t="s">
        <v>8</v>
      </c>
      <c r="O324" s="2">
        <v>22</v>
      </c>
      <c r="P324" s="2">
        <f ca="1">ROUND((IF(I324="",TODAY(),I324)-H324)/365,1)</f>
        <v>10.5</v>
      </c>
      <c r="Q324" s="2" t="str">
        <f t="shared" si="5"/>
        <v>Medium</v>
      </c>
    </row>
    <row r="325" spans="1:17" x14ac:dyDescent="0.35">
      <c r="A325" s="2" t="s">
        <v>1041</v>
      </c>
      <c r="B325" s="2" t="s">
        <v>864</v>
      </c>
      <c r="C325" s="2" t="s">
        <v>9</v>
      </c>
      <c r="D325" s="2" t="s">
        <v>77</v>
      </c>
      <c r="E325" s="2" t="s">
        <v>46</v>
      </c>
      <c r="F325" s="2">
        <v>32</v>
      </c>
      <c r="G325" s="2" t="s">
        <v>32</v>
      </c>
      <c r="H325" s="3" t="s">
        <v>1042</v>
      </c>
      <c r="I325" s="3" t="s">
        <v>1043</v>
      </c>
      <c r="J325" s="2" t="s">
        <v>6</v>
      </c>
      <c r="K325" s="2">
        <v>105065</v>
      </c>
      <c r="L325" s="2">
        <v>1</v>
      </c>
      <c r="M325" s="2">
        <v>4</v>
      </c>
      <c r="N325" s="2" t="s">
        <v>6</v>
      </c>
      <c r="O325" s="2">
        <v>17</v>
      </c>
      <c r="P325" s="2">
        <f ca="1">ROUND((IF(I325="",TODAY(),I325)-H325)/365,1)</f>
        <v>4.5999999999999996</v>
      </c>
      <c r="Q325" s="2" t="str">
        <f t="shared" si="5"/>
        <v>N/A</v>
      </c>
    </row>
    <row r="326" spans="1:17" x14ac:dyDescent="0.35">
      <c r="A326" s="2" t="s">
        <v>1044</v>
      </c>
      <c r="B326" s="2" t="s">
        <v>1045</v>
      </c>
      <c r="C326" s="2" t="s">
        <v>7</v>
      </c>
      <c r="D326" s="2" t="s">
        <v>125</v>
      </c>
      <c r="E326" s="2" t="s">
        <v>31</v>
      </c>
      <c r="F326" s="2">
        <v>48</v>
      </c>
      <c r="G326" s="2" t="s">
        <v>56</v>
      </c>
      <c r="H326" s="3" t="s">
        <v>1046</v>
      </c>
      <c r="I326" s="2"/>
      <c r="J326" s="2" t="s">
        <v>8</v>
      </c>
      <c r="K326" s="2">
        <v>84950</v>
      </c>
      <c r="L326" s="2">
        <v>1</v>
      </c>
      <c r="M326" s="2">
        <v>5</v>
      </c>
      <c r="N326" s="2" t="s">
        <v>8</v>
      </c>
      <c r="O326" s="2">
        <v>29</v>
      </c>
      <c r="P326" s="2">
        <f ca="1">ROUND((IF(I326="",TODAY(),I326)-H326)/365,1)</f>
        <v>11.1</v>
      </c>
      <c r="Q326" s="2" t="str">
        <f t="shared" si="5"/>
        <v>Low</v>
      </c>
    </row>
    <row r="327" spans="1:17" x14ac:dyDescent="0.35">
      <c r="A327" s="2" t="s">
        <v>1047</v>
      </c>
      <c r="B327" s="2" t="s">
        <v>1048</v>
      </c>
      <c r="C327" s="2" t="s">
        <v>11</v>
      </c>
      <c r="D327" s="2" t="s">
        <v>45</v>
      </c>
      <c r="E327" s="2" t="s">
        <v>46</v>
      </c>
      <c r="F327" s="2">
        <v>25</v>
      </c>
      <c r="G327" s="2" t="s">
        <v>32</v>
      </c>
      <c r="H327" s="3" t="s">
        <v>1049</v>
      </c>
      <c r="I327" s="2"/>
      <c r="J327" s="2" t="s">
        <v>8</v>
      </c>
      <c r="K327" s="2">
        <v>127377</v>
      </c>
      <c r="L327" s="2">
        <v>4</v>
      </c>
      <c r="M327" s="2">
        <v>5</v>
      </c>
      <c r="N327" s="2" t="s">
        <v>8</v>
      </c>
      <c r="O327" s="2">
        <v>33</v>
      </c>
      <c r="P327" s="2">
        <f ca="1">ROUND((IF(I327="",TODAY(),I327)-H327)/365,1)</f>
        <v>5.4</v>
      </c>
      <c r="Q327" s="2" t="str">
        <f t="shared" si="5"/>
        <v>Low</v>
      </c>
    </row>
    <row r="328" spans="1:17" x14ac:dyDescent="0.35">
      <c r="A328" s="2" t="s">
        <v>1050</v>
      </c>
      <c r="B328" s="2" t="s">
        <v>50</v>
      </c>
      <c r="C328" s="2" t="s">
        <v>7</v>
      </c>
      <c r="D328" s="2" t="s">
        <v>37</v>
      </c>
      <c r="E328" s="2" t="s">
        <v>31</v>
      </c>
      <c r="F328" s="2">
        <v>42</v>
      </c>
      <c r="G328" s="2" t="s">
        <v>32</v>
      </c>
      <c r="H328" s="3" t="s">
        <v>1051</v>
      </c>
      <c r="I328" s="2"/>
      <c r="J328" s="2" t="s">
        <v>8</v>
      </c>
      <c r="K328" s="2">
        <v>124925</v>
      </c>
      <c r="L328" s="2">
        <v>5</v>
      </c>
      <c r="M328" s="2">
        <v>4</v>
      </c>
      <c r="N328" s="2" t="s">
        <v>8</v>
      </c>
      <c r="O328" s="2">
        <v>45</v>
      </c>
      <c r="P328" s="2">
        <f ca="1">ROUND((IF(I328="",TODAY(),I328)-H328)/365,1)</f>
        <v>6</v>
      </c>
      <c r="Q328" s="2" t="str">
        <f t="shared" si="5"/>
        <v>Low</v>
      </c>
    </row>
    <row r="329" spans="1:17" x14ac:dyDescent="0.35">
      <c r="A329" s="2" t="s">
        <v>1052</v>
      </c>
      <c r="B329" s="2" t="s">
        <v>464</v>
      </c>
      <c r="C329" s="2" t="s">
        <v>9</v>
      </c>
      <c r="D329" s="2" t="s">
        <v>41</v>
      </c>
      <c r="E329" s="2" t="s">
        <v>46</v>
      </c>
      <c r="F329" s="2">
        <v>48</v>
      </c>
      <c r="G329" s="2" t="s">
        <v>78</v>
      </c>
      <c r="H329" s="3" t="s">
        <v>1053</v>
      </c>
      <c r="I329" s="2"/>
      <c r="J329" s="2" t="s">
        <v>8</v>
      </c>
      <c r="K329" s="2">
        <v>96802</v>
      </c>
      <c r="L329" s="2">
        <v>3</v>
      </c>
      <c r="M329" s="2">
        <v>5</v>
      </c>
      <c r="N329" s="2" t="s">
        <v>8</v>
      </c>
      <c r="O329" s="2">
        <v>45</v>
      </c>
      <c r="P329" s="2">
        <f ca="1">ROUND((IF(I329="",TODAY(),I329)-H329)/365,1)</f>
        <v>4.9000000000000004</v>
      </c>
      <c r="Q329" s="2" t="str">
        <f t="shared" si="5"/>
        <v>Low</v>
      </c>
    </row>
    <row r="330" spans="1:17" x14ac:dyDescent="0.35">
      <c r="A330" s="2" t="s">
        <v>1054</v>
      </c>
      <c r="B330" s="2" t="s">
        <v>654</v>
      </c>
      <c r="C330" s="2" t="s">
        <v>11</v>
      </c>
      <c r="D330" s="2" t="s">
        <v>98</v>
      </c>
      <c r="E330" s="2" t="s">
        <v>31</v>
      </c>
      <c r="F330" s="2">
        <v>40</v>
      </c>
      <c r="G330" s="2" t="s">
        <v>56</v>
      </c>
      <c r="H330" s="3" t="s">
        <v>1055</v>
      </c>
      <c r="I330" s="2"/>
      <c r="J330" s="2" t="s">
        <v>8</v>
      </c>
      <c r="K330" s="2">
        <v>96105</v>
      </c>
      <c r="L330" s="2">
        <v>2</v>
      </c>
      <c r="M330" s="2">
        <v>2</v>
      </c>
      <c r="N330" s="2" t="s">
        <v>6</v>
      </c>
      <c r="O330" s="2">
        <v>33</v>
      </c>
      <c r="P330" s="2">
        <f ca="1">ROUND((IF(I330="",TODAY(),I330)-H330)/365,1)</f>
        <v>3.9</v>
      </c>
      <c r="Q330" s="2" t="str">
        <f t="shared" si="5"/>
        <v>High</v>
      </c>
    </row>
    <row r="331" spans="1:17" x14ac:dyDescent="0.35">
      <c r="A331" s="2" t="s">
        <v>1056</v>
      </c>
      <c r="B331" s="2" t="s">
        <v>1057</v>
      </c>
      <c r="C331" s="2" t="s">
        <v>12</v>
      </c>
      <c r="D331" s="2" t="s">
        <v>30</v>
      </c>
      <c r="E331" s="2" t="s">
        <v>46</v>
      </c>
      <c r="F331" s="2">
        <v>58</v>
      </c>
      <c r="G331" s="2" t="s">
        <v>32</v>
      </c>
      <c r="H331" s="3" t="s">
        <v>1058</v>
      </c>
      <c r="I331" s="2"/>
      <c r="J331" s="2" t="s">
        <v>8</v>
      </c>
      <c r="K331" s="2">
        <v>130946</v>
      </c>
      <c r="L331" s="2">
        <v>3</v>
      </c>
      <c r="M331" s="2">
        <v>5</v>
      </c>
      <c r="N331" s="2" t="s">
        <v>8</v>
      </c>
      <c r="O331" s="2">
        <v>28</v>
      </c>
      <c r="P331" s="2">
        <f ca="1">ROUND((IF(I331="",TODAY(),I331)-H331)/365,1)</f>
        <v>4.0999999999999996</v>
      </c>
      <c r="Q331" s="2" t="str">
        <f t="shared" si="5"/>
        <v>Low</v>
      </c>
    </row>
    <row r="332" spans="1:17" x14ac:dyDescent="0.35">
      <c r="A332" s="2" t="s">
        <v>1059</v>
      </c>
      <c r="B332" s="2" t="s">
        <v>557</v>
      </c>
      <c r="C332" s="2" t="s">
        <v>5</v>
      </c>
      <c r="D332" s="2" t="s">
        <v>207</v>
      </c>
      <c r="E332" s="2" t="s">
        <v>31</v>
      </c>
      <c r="F332" s="2">
        <v>34</v>
      </c>
      <c r="G332" s="2" t="s">
        <v>32</v>
      </c>
      <c r="H332" s="3" t="s">
        <v>1060</v>
      </c>
      <c r="I332" s="2"/>
      <c r="J332" s="2" t="s">
        <v>8</v>
      </c>
      <c r="K332" s="2">
        <v>57841</v>
      </c>
      <c r="L332" s="2">
        <v>3</v>
      </c>
      <c r="M332" s="2">
        <v>2</v>
      </c>
      <c r="N332" s="2" t="s">
        <v>8</v>
      </c>
      <c r="O332" s="2">
        <v>44</v>
      </c>
      <c r="P332" s="2">
        <f ca="1">ROUND((IF(I332="",TODAY(),I332)-H332)/365,1)</f>
        <v>8.6</v>
      </c>
      <c r="Q332" s="2" t="str">
        <f t="shared" si="5"/>
        <v>Medium</v>
      </c>
    </row>
    <row r="333" spans="1:17" x14ac:dyDescent="0.35">
      <c r="A333" s="2" t="s">
        <v>1061</v>
      </c>
      <c r="B333" s="2" t="s">
        <v>1062</v>
      </c>
      <c r="C333" s="2" t="s">
        <v>12</v>
      </c>
      <c r="D333" s="2" t="s">
        <v>133</v>
      </c>
      <c r="E333" s="2" t="s">
        <v>31</v>
      </c>
      <c r="F333" s="2">
        <v>44</v>
      </c>
      <c r="G333" s="2" t="s">
        <v>56</v>
      </c>
      <c r="H333" s="3" t="s">
        <v>1063</v>
      </c>
      <c r="I333" s="2"/>
      <c r="J333" s="2" t="s">
        <v>8</v>
      </c>
      <c r="K333" s="2">
        <v>122309</v>
      </c>
      <c r="L333" s="2">
        <v>5</v>
      </c>
      <c r="M333" s="2">
        <v>5</v>
      </c>
      <c r="N333" s="2" t="s">
        <v>8</v>
      </c>
      <c r="O333" s="2">
        <v>15</v>
      </c>
      <c r="P333" s="2">
        <f ca="1">ROUND((IF(I333="",TODAY(),I333)-H333)/365,1)</f>
        <v>2.5</v>
      </c>
      <c r="Q333" s="2" t="str">
        <f t="shared" si="5"/>
        <v>Low</v>
      </c>
    </row>
    <row r="334" spans="1:17" x14ac:dyDescent="0.35">
      <c r="A334" s="2" t="s">
        <v>1064</v>
      </c>
      <c r="B334" s="2" t="s">
        <v>461</v>
      </c>
      <c r="C334" s="2" t="s">
        <v>7</v>
      </c>
      <c r="D334" s="2" t="s">
        <v>37</v>
      </c>
      <c r="E334" s="2" t="s">
        <v>46</v>
      </c>
      <c r="F334" s="2">
        <v>46</v>
      </c>
      <c r="G334" s="2" t="s">
        <v>56</v>
      </c>
      <c r="H334" s="3" t="s">
        <v>1065</v>
      </c>
      <c r="I334" s="2"/>
      <c r="J334" s="2" t="s">
        <v>8</v>
      </c>
      <c r="K334" s="2">
        <v>26699</v>
      </c>
      <c r="L334" s="2">
        <v>5</v>
      </c>
      <c r="M334" s="2">
        <v>3</v>
      </c>
      <c r="N334" s="2" t="s">
        <v>8</v>
      </c>
      <c r="O334" s="2">
        <v>4</v>
      </c>
      <c r="P334" s="2">
        <f ca="1">ROUND((IF(I334="",TODAY(),I334)-H334)/365,1)</f>
        <v>6.9</v>
      </c>
      <c r="Q334" s="2" t="str">
        <f t="shared" si="5"/>
        <v>Low</v>
      </c>
    </row>
    <row r="335" spans="1:17" x14ac:dyDescent="0.35">
      <c r="A335" s="2" t="s">
        <v>1066</v>
      </c>
      <c r="B335" s="2" t="s">
        <v>883</v>
      </c>
      <c r="C335" s="2" t="s">
        <v>11</v>
      </c>
      <c r="D335" s="2" t="s">
        <v>66</v>
      </c>
      <c r="E335" s="2" t="s">
        <v>31</v>
      </c>
      <c r="F335" s="2">
        <v>56</v>
      </c>
      <c r="G335" s="2" t="s">
        <v>56</v>
      </c>
      <c r="H335" s="3" t="s">
        <v>1067</v>
      </c>
      <c r="I335" s="3" t="s">
        <v>1068</v>
      </c>
      <c r="J335" s="2" t="s">
        <v>6</v>
      </c>
      <c r="K335" s="2">
        <v>48255</v>
      </c>
      <c r="L335" s="2">
        <v>3</v>
      </c>
      <c r="M335" s="2">
        <v>2</v>
      </c>
      <c r="N335" s="2" t="s">
        <v>8</v>
      </c>
      <c r="O335" s="2">
        <v>29</v>
      </c>
      <c r="P335" s="2">
        <f ca="1">ROUND((IF(I335="",TODAY(),I335)-H335)/365,1)</f>
        <v>1.1000000000000001</v>
      </c>
      <c r="Q335" s="2" t="str">
        <f t="shared" si="5"/>
        <v>N/A</v>
      </c>
    </row>
    <row r="336" spans="1:17" x14ac:dyDescent="0.35">
      <c r="A336" s="2" t="s">
        <v>1069</v>
      </c>
      <c r="B336" s="2" t="s">
        <v>551</v>
      </c>
      <c r="C336" s="2" t="s">
        <v>12</v>
      </c>
      <c r="D336" s="2" t="s">
        <v>55</v>
      </c>
      <c r="E336" s="2" t="s">
        <v>31</v>
      </c>
      <c r="F336" s="2">
        <v>49</v>
      </c>
      <c r="G336" s="2" t="s">
        <v>78</v>
      </c>
      <c r="H336" s="3" t="s">
        <v>1070</v>
      </c>
      <c r="I336" s="3" t="s">
        <v>1071</v>
      </c>
      <c r="J336" s="2" t="s">
        <v>6</v>
      </c>
      <c r="K336" s="2">
        <v>135888</v>
      </c>
      <c r="L336" s="2">
        <v>2</v>
      </c>
      <c r="M336" s="2">
        <v>2</v>
      </c>
      <c r="N336" s="2" t="s">
        <v>8</v>
      </c>
      <c r="O336" s="2">
        <v>38</v>
      </c>
      <c r="P336" s="2">
        <f ca="1">ROUND((IF(I336="",TODAY(),I336)-H336)/365,1)</f>
        <v>5.4</v>
      </c>
      <c r="Q336" s="2" t="str">
        <f t="shared" si="5"/>
        <v>N/A</v>
      </c>
    </row>
    <row r="337" spans="1:17" x14ac:dyDescent="0.35">
      <c r="A337" s="2" t="s">
        <v>1072</v>
      </c>
      <c r="B337" s="2" t="s">
        <v>519</v>
      </c>
      <c r="C337" s="2" t="s">
        <v>12</v>
      </c>
      <c r="D337" s="2" t="s">
        <v>30</v>
      </c>
      <c r="E337" s="2" t="s">
        <v>31</v>
      </c>
      <c r="F337" s="2">
        <v>25</v>
      </c>
      <c r="G337" s="2" t="s">
        <v>56</v>
      </c>
      <c r="H337" s="3" t="s">
        <v>1073</v>
      </c>
      <c r="I337" s="2"/>
      <c r="J337" s="2" t="s">
        <v>8</v>
      </c>
      <c r="K337" s="2">
        <v>128534</v>
      </c>
      <c r="L337" s="2">
        <v>3</v>
      </c>
      <c r="M337" s="2">
        <v>5</v>
      </c>
      <c r="N337" s="2" t="s">
        <v>8</v>
      </c>
      <c r="O337" s="2">
        <v>32</v>
      </c>
      <c r="P337" s="2">
        <f ca="1">ROUND((IF(I337="",TODAY(),I337)-H337)/365,1)</f>
        <v>2.9</v>
      </c>
      <c r="Q337" s="2" t="str">
        <f t="shared" si="5"/>
        <v>Low</v>
      </c>
    </row>
    <row r="338" spans="1:17" x14ac:dyDescent="0.35">
      <c r="A338" s="2" t="s">
        <v>1074</v>
      </c>
      <c r="B338" s="2" t="s">
        <v>1075</v>
      </c>
      <c r="C338" s="2" t="s">
        <v>5</v>
      </c>
      <c r="D338" s="2" t="s">
        <v>102</v>
      </c>
      <c r="E338" s="2" t="s">
        <v>46</v>
      </c>
      <c r="F338" s="2">
        <v>33</v>
      </c>
      <c r="G338" s="2" t="s">
        <v>56</v>
      </c>
      <c r="H338" s="3" t="s">
        <v>1076</v>
      </c>
      <c r="I338" s="2"/>
      <c r="J338" s="2" t="s">
        <v>8</v>
      </c>
      <c r="K338" s="2">
        <v>96182</v>
      </c>
      <c r="L338" s="2">
        <v>2</v>
      </c>
      <c r="M338" s="2">
        <v>5</v>
      </c>
      <c r="N338" s="2" t="s">
        <v>6</v>
      </c>
      <c r="O338" s="2">
        <v>27</v>
      </c>
      <c r="P338" s="2">
        <f ca="1">ROUND((IF(I338="",TODAY(),I338)-H338)/365,1)</f>
        <v>5.8</v>
      </c>
      <c r="Q338" s="2" t="str">
        <f t="shared" si="5"/>
        <v>Medium</v>
      </c>
    </row>
    <row r="339" spans="1:17" x14ac:dyDescent="0.35">
      <c r="A339" s="2" t="s">
        <v>1077</v>
      </c>
      <c r="B339" s="2" t="s">
        <v>1078</v>
      </c>
      <c r="C339" s="2" t="s">
        <v>9</v>
      </c>
      <c r="D339" s="2" t="s">
        <v>51</v>
      </c>
      <c r="E339" s="2" t="s">
        <v>31</v>
      </c>
      <c r="F339" s="2">
        <v>45</v>
      </c>
      <c r="G339" s="2" t="s">
        <v>56</v>
      </c>
      <c r="H339" s="3" t="s">
        <v>1079</v>
      </c>
      <c r="I339" s="3" t="s">
        <v>1080</v>
      </c>
      <c r="J339" s="2" t="s">
        <v>6</v>
      </c>
      <c r="K339" s="2">
        <v>98575</v>
      </c>
      <c r="L339" s="2">
        <v>5</v>
      </c>
      <c r="M339" s="2">
        <v>5</v>
      </c>
      <c r="N339" s="2" t="s">
        <v>6</v>
      </c>
      <c r="O339" s="2">
        <v>31</v>
      </c>
      <c r="P339" s="2">
        <f ca="1">ROUND((IF(I339="",TODAY(),I339)-H339)/365,1)</f>
        <v>7.7</v>
      </c>
      <c r="Q339" s="2" t="str">
        <f t="shared" si="5"/>
        <v>N/A</v>
      </c>
    </row>
    <row r="340" spans="1:17" x14ac:dyDescent="0.35">
      <c r="A340" s="2" t="s">
        <v>1081</v>
      </c>
      <c r="B340" s="2" t="s">
        <v>529</v>
      </c>
      <c r="C340" s="2" t="s">
        <v>9</v>
      </c>
      <c r="D340" s="2" t="s">
        <v>41</v>
      </c>
      <c r="E340" s="2" t="s">
        <v>31</v>
      </c>
      <c r="F340" s="2">
        <v>37</v>
      </c>
      <c r="G340" s="2" t="s">
        <v>78</v>
      </c>
      <c r="H340" s="3" t="s">
        <v>1082</v>
      </c>
      <c r="I340" s="2"/>
      <c r="J340" s="2" t="s">
        <v>8</v>
      </c>
      <c r="K340" s="2">
        <v>75577</v>
      </c>
      <c r="L340" s="2">
        <v>4</v>
      </c>
      <c r="M340" s="2">
        <v>3</v>
      </c>
      <c r="N340" s="2" t="s">
        <v>8</v>
      </c>
      <c r="O340" s="2">
        <v>8</v>
      </c>
      <c r="P340" s="2">
        <f ca="1">ROUND((IF(I340="",TODAY(),I340)-H340)/365,1)</f>
        <v>11.2</v>
      </c>
      <c r="Q340" s="2" t="str">
        <f t="shared" si="5"/>
        <v>Low</v>
      </c>
    </row>
    <row r="341" spans="1:17" x14ac:dyDescent="0.35">
      <c r="A341" s="2" t="s">
        <v>1083</v>
      </c>
      <c r="B341" s="2" t="s">
        <v>1084</v>
      </c>
      <c r="C341" s="2" t="s">
        <v>9</v>
      </c>
      <c r="D341" s="2" t="s">
        <v>51</v>
      </c>
      <c r="E341" s="2" t="s">
        <v>46</v>
      </c>
      <c r="F341" s="2">
        <v>50</v>
      </c>
      <c r="G341" s="2" t="s">
        <v>32</v>
      </c>
      <c r="H341" s="3" t="s">
        <v>1085</v>
      </c>
      <c r="I341" s="3" t="s">
        <v>1086</v>
      </c>
      <c r="J341" s="2" t="s">
        <v>6</v>
      </c>
      <c r="K341" s="2">
        <v>35793</v>
      </c>
      <c r="L341" s="2">
        <v>3</v>
      </c>
      <c r="M341" s="2">
        <v>2</v>
      </c>
      <c r="N341" s="2" t="s">
        <v>6</v>
      </c>
      <c r="O341" s="2">
        <v>33</v>
      </c>
      <c r="P341" s="2">
        <f ca="1">ROUND((IF(I341="",TODAY(),I341)-H341)/365,1)</f>
        <v>0.2</v>
      </c>
      <c r="Q341" s="2" t="str">
        <f t="shared" si="5"/>
        <v>N/A</v>
      </c>
    </row>
    <row r="342" spans="1:17" x14ac:dyDescent="0.35">
      <c r="A342" s="2" t="s">
        <v>1087</v>
      </c>
      <c r="B342" s="2" t="s">
        <v>1088</v>
      </c>
      <c r="C342" s="2" t="s">
        <v>12</v>
      </c>
      <c r="D342" s="2" t="s">
        <v>30</v>
      </c>
      <c r="E342" s="2" t="s">
        <v>31</v>
      </c>
      <c r="F342" s="2">
        <v>28</v>
      </c>
      <c r="G342" s="2" t="s">
        <v>32</v>
      </c>
      <c r="H342" s="3" t="s">
        <v>1089</v>
      </c>
      <c r="I342" s="2"/>
      <c r="J342" s="2" t="s">
        <v>8</v>
      </c>
      <c r="K342" s="2">
        <v>45152</v>
      </c>
      <c r="L342" s="2">
        <v>1</v>
      </c>
      <c r="M342" s="2">
        <v>4</v>
      </c>
      <c r="N342" s="2" t="s">
        <v>8</v>
      </c>
      <c r="O342" s="2">
        <v>44</v>
      </c>
      <c r="P342" s="2">
        <f ca="1">ROUND((IF(I342="",TODAY(),I342)-H342)/365,1)</f>
        <v>9.3000000000000007</v>
      </c>
      <c r="Q342" s="2" t="str">
        <f t="shared" si="5"/>
        <v>Low</v>
      </c>
    </row>
    <row r="343" spans="1:17" x14ac:dyDescent="0.35">
      <c r="A343" s="2" t="s">
        <v>1090</v>
      </c>
      <c r="B343" s="2" t="s">
        <v>206</v>
      </c>
      <c r="C343" s="2" t="s">
        <v>9</v>
      </c>
      <c r="D343" s="2" t="s">
        <v>51</v>
      </c>
      <c r="E343" s="2" t="s">
        <v>31</v>
      </c>
      <c r="F343" s="2">
        <v>33</v>
      </c>
      <c r="G343" s="2" t="s">
        <v>78</v>
      </c>
      <c r="H343" s="3" t="s">
        <v>1091</v>
      </c>
      <c r="I343" s="3" t="s">
        <v>1092</v>
      </c>
      <c r="J343" s="2" t="s">
        <v>6</v>
      </c>
      <c r="K343" s="2">
        <v>144404</v>
      </c>
      <c r="L343" s="2">
        <v>5</v>
      </c>
      <c r="M343" s="2">
        <v>1</v>
      </c>
      <c r="N343" s="2" t="s">
        <v>6</v>
      </c>
      <c r="O343" s="2">
        <v>15</v>
      </c>
      <c r="P343" s="2">
        <f ca="1">ROUND((IF(I343="",TODAY(),I343)-H343)/365,1)</f>
        <v>1.4</v>
      </c>
      <c r="Q343" s="2" t="str">
        <f t="shared" si="5"/>
        <v>N/A</v>
      </c>
    </row>
    <row r="344" spans="1:17" x14ac:dyDescent="0.35">
      <c r="A344" s="2" t="s">
        <v>1093</v>
      </c>
      <c r="B344" s="2" t="s">
        <v>692</v>
      </c>
      <c r="C344" s="2" t="s">
        <v>12</v>
      </c>
      <c r="D344" s="2" t="s">
        <v>133</v>
      </c>
      <c r="E344" s="2" t="s">
        <v>46</v>
      </c>
      <c r="F344" s="2">
        <v>46</v>
      </c>
      <c r="G344" s="2" t="s">
        <v>56</v>
      </c>
      <c r="H344" s="3" t="s">
        <v>1094</v>
      </c>
      <c r="I344" s="2"/>
      <c r="J344" s="2" t="s">
        <v>8</v>
      </c>
      <c r="K344" s="2">
        <v>124085</v>
      </c>
      <c r="L344" s="2">
        <v>5</v>
      </c>
      <c r="M344" s="2">
        <v>1</v>
      </c>
      <c r="N344" s="2" t="s">
        <v>6</v>
      </c>
      <c r="O344" s="2">
        <v>5</v>
      </c>
      <c r="P344" s="2">
        <f ca="1">ROUND((IF(I344="",TODAY(),I344)-H344)/365,1)</f>
        <v>4.0999999999999996</v>
      </c>
      <c r="Q344" s="2" t="str">
        <f t="shared" si="5"/>
        <v>High</v>
      </c>
    </row>
    <row r="345" spans="1:17" x14ac:dyDescent="0.35">
      <c r="A345" s="2" t="s">
        <v>1095</v>
      </c>
      <c r="B345" s="2" t="s">
        <v>1096</v>
      </c>
      <c r="C345" s="2" t="s">
        <v>12</v>
      </c>
      <c r="D345" s="2" t="s">
        <v>30</v>
      </c>
      <c r="E345" s="2" t="s">
        <v>46</v>
      </c>
      <c r="F345" s="2">
        <v>40</v>
      </c>
      <c r="G345" s="2" t="s">
        <v>78</v>
      </c>
      <c r="H345" s="3" t="s">
        <v>1097</v>
      </c>
      <c r="I345" s="2"/>
      <c r="J345" s="2" t="s">
        <v>8</v>
      </c>
      <c r="K345" s="2">
        <v>125306</v>
      </c>
      <c r="L345" s="2">
        <v>1</v>
      </c>
      <c r="M345" s="2">
        <v>5</v>
      </c>
      <c r="N345" s="2" t="s">
        <v>8</v>
      </c>
      <c r="O345" s="2">
        <v>19</v>
      </c>
      <c r="P345" s="2">
        <f ca="1">ROUND((IF(I345="",TODAY(),I345)-H345)/365,1)</f>
        <v>2.8</v>
      </c>
      <c r="Q345" s="2" t="str">
        <f t="shared" si="5"/>
        <v>Low</v>
      </c>
    </row>
    <row r="346" spans="1:17" x14ac:dyDescent="0.35">
      <c r="A346" s="2" t="s">
        <v>1098</v>
      </c>
      <c r="B346" s="2" t="s">
        <v>1099</v>
      </c>
      <c r="C346" s="2" t="s">
        <v>12</v>
      </c>
      <c r="D346" s="2" t="s">
        <v>30</v>
      </c>
      <c r="E346" s="2" t="s">
        <v>46</v>
      </c>
      <c r="F346" s="2">
        <v>36</v>
      </c>
      <c r="G346" s="2" t="s">
        <v>78</v>
      </c>
      <c r="H346" s="3" t="s">
        <v>891</v>
      </c>
      <c r="I346" s="2"/>
      <c r="J346" s="2" t="s">
        <v>8</v>
      </c>
      <c r="K346" s="2">
        <v>43884</v>
      </c>
      <c r="L346" s="2">
        <v>3</v>
      </c>
      <c r="M346" s="2">
        <v>5</v>
      </c>
      <c r="N346" s="2" t="s">
        <v>8</v>
      </c>
      <c r="O346" s="2">
        <v>41</v>
      </c>
      <c r="P346" s="2">
        <f ca="1">ROUND((IF(I346="",TODAY(),I346)-H346)/365,1)</f>
        <v>10.1</v>
      </c>
      <c r="Q346" s="2" t="str">
        <f t="shared" si="5"/>
        <v>Low</v>
      </c>
    </row>
    <row r="347" spans="1:17" x14ac:dyDescent="0.35">
      <c r="A347" s="2" t="s">
        <v>1100</v>
      </c>
      <c r="B347" s="2" t="s">
        <v>1101</v>
      </c>
      <c r="C347" s="2" t="s">
        <v>12</v>
      </c>
      <c r="D347" s="2" t="s">
        <v>55</v>
      </c>
      <c r="E347" s="2" t="s">
        <v>46</v>
      </c>
      <c r="F347" s="2">
        <v>57</v>
      </c>
      <c r="G347" s="2" t="s">
        <v>56</v>
      </c>
      <c r="H347" s="3" t="s">
        <v>1102</v>
      </c>
      <c r="I347" s="2"/>
      <c r="J347" s="2" t="s">
        <v>8</v>
      </c>
      <c r="K347" s="2">
        <v>76653</v>
      </c>
      <c r="L347" s="2">
        <v>5</v>
      </c>
      <c r="M347" s="2">
        <v>1</v>
      </c>
      <c r="N347" s="2" t="s">
        <v>6</v>
      </c>
      <c r="O347" s="2">
        <v>39</v>
      </c>
      <c r="P347" s="2">
        <f ca="1">ROUND((IF(I347="",TODAY(),I347)-H347)/365,1)</f>
        <v>10</v>
      </c>
      <c r="Q347" s="2" t="str">
        <f t="shared" si="5"/>
        <v>High</v>
      </c>
    </row>
    <row r="348" spans="1:17" x14ac:dyDescent="0.35">
      <c r="A348" s="2" t="s">
        <v>1103</v>
      </c>
      <c r="B348" s="2" t="s">
        <v>1104</v>
      </c>
      <c r="C348" s="2" t="s">
        <v>5</v>
      </c>
      <c r="D348" s="2" t="s">
        <v>207</v>
      </c>
      <c r="E348" s="2" t="s">
        <v>31</v>
      </c>
      <c r="F348" s="2">
        <v>48</v>
      </c>
      <c r="G348" s="2" t="s">
        <v>32</v>
      </c>
      <c r="H348" s="3" t="s">
        <v>879</v>
      </c>
      <c r="I348" s="2"/>
      <c r="J348" s="2" t="s">
        <v>8</v>
      </c>
      <c r="K348" s="2">
        <v>49116</v>
      </c>
      <c r="L348" s="2">
        <v>2</v>
      </c>
      <c r="M348" s="2">
        <v>5</v>
      </c>
      <c r="N348" s="2" t="s">
        <v>8</v>
      </c>
      <c r="O348" s="2">
        <v>11</v>
      </c>
      <c r="P348" s="2">
        <f ca="1">ROUND((IF(I348="",TODAY(),I348)-H348)/365,1)</f>
        <v>1.4</v>
      </c>
      <c r="Q348" s="2" t="str">
        <f t="shared" si="5"/>
        <v>Low</v>
      </c>
    </row>
    <row r="349" spans="1:17" x14ac:dyDescent="0.35">
      <c r="A349" s="2" t="s">
        <v>1105</v>
      </c>
      <c r="B349" s="2" t="s">
        <v>1106</v>
      </c>
      <c r="C349" s="2" t="s">
        <v>9</v>
      </c>
      <c r="D349" s="2" t="s">
        <v>51</v>
      </c>
      <c r="E349" s="2" t="s">
        <v>31</v>
      </c>
      <c r="F349" s="2">
        <v>25</v>
      </c>
      <c r="G349" s="2" t="s">
        <v>32</v>
      </c>
      <c r="H349" s="3" t="s">
        <v>119</v>
      </c>
      <c r="I349" s="2"/>
      <c r="J349" s="2" t="s">
        <v>8</v>
      </c>
      <c r="K349" s="2">
        <v>97045</v>
      </c>
      <c r="L349" s="2">
        <v>4</v>
      </c>
      <c r="M349" s="2">
        <v>5</v>
      </c>
      <c r="N349" s="2" t="s">
        <v>8</v>
      </c>
      <c r="O349" s="2">
        <v>42</v>
      </c>
      <c r="P349" s="2">
        <f ca="1">ROUND((IF(I349="",TODAY(),I349)-H349)/365,1)</f>
        <v>2.1</v>
      </c>
      <c r="Q349" s="2" t="str">
        <f t="shared" si="5"/>
        <v>Low</v>
      </c>
    </row>
    <row r="350" spans="1:17" x14ac:dyDescent="0.35">
      <c r="A350" s="2" t="s">
        <v>1107</v>
      </c>
      <c r="B350" s="2" t="s">
        <v>1108</v>
      </c>
      <c r="C350" s="2" t="s">
        <v>5</v>
      </c>
      <c r="D350" s="2" t="s">
        <v>207</v>
      </c>
      <c r="E350" s="2" t="s">
        <v>31</v>
      </c>
      <c r="F350" s="2">
        <v>53</v>
      </c>
      <c r="G350" s="2" t="s">
        <v>32</v>
      </c>
      <c r="H350" s="3" t="s">
        <v>1109</v>
      </c>
      <c r="I350" s="2"/>
      <c r="J350" s="2" t="s">
        <v>8</v>
      </c>
      <c r="K350" s="2">
        <v>106201</v>
      </c>
      <c r="L350" s="2">
        <v>1</v>
      </c>
      <c r="M350" s="2">
        <v>2</v>
      </c>
      <c r="N350" s="2" t="s">
        <v>8</v>
      </c>
      <c r="O350" s="2">
        <v>19</v>
      </c>
      <c r="P350" s="2">
        <f ca="1">ROUND((IF(I350="",TODAY(),I350)-H350)/365,1)</f>
        <v>7.9</v>
      </c>
      <c r="Q350" s="2" t="str">
        <f t="shared" si="5"/>
        <v>Medium</v>
      </c>
    </row>
    <row r="351" spans="1:17" x14ac:dyDescent="0.35">
      <c r="A351" s="2" t="s">
        <v>1110</v>
      </c>
      <c r="B351" s="2" t="s">
        <v>267</v>
      </c>
      <c r="C351" s="2" t="s">
        <v>9</v>
      </c>
      <c r="D351" s="2" t="s">
        <v>41</v>
      </c>
      <c r="E351" s="2" t="s">
        <v>46</v>
      </c>
      <c r="F351" s="2">
        <v>41</v>
      </c>
      <c r="G351" s="2" t="s">
        <v>78</v>
      </c>
      <c r="H351" s="3" t="s">
        <v>1111</v>
      </c>
      <c r="I351" s="2"/>
      <c r="J351" s="2" t="s">
        <v>8</v>
      </c>
      <c r="K351" s="2">
        <v>130866</v>
      </c>
      <c r="L351" s="2">
        <v>5</v>
      </c>
      <c r="M351" s="2">
        <v>5</v>
      </c>
      <c r="N351" s="2" t="s">
        <v>8</v>
      </c>
      <c r="O351" s="2">
        <v>24</v>
      </c>
      <c r="P351" s="2">
        <f ca="1">ROUND((IF(I351="",TODAY(),I351)-H351)/365,1)</f>
        <v>3.8</v>
      </c>
      <c r="Q351" s="2" t="str">
        <f t="shared" si="5"/>
        <v>Low</v>
      </c>
    </row>
    <row r="352" spans="1:17" x14ac:dyDescent="0.35">
      <c r="A352" s="2" t="s">
        <v>1112</v>
      </c>
      <c r="B352" s="2" t="s">
        <v>1113</v>
      </c>
      <c r="C352" s="2" t="s">
        <v>7</v>
      </c>
      <c r="D352" s="2" t="s">
        <v>155</v>
      </c>
      <c r="E352" s="2" t="s">
        <v>46</v>
      </c>
      <c r="F352" s="2">
        <v>49</v>
      </c>
      <c r="G352" s="2" t="s">
        <v>78</v>
      </c>
      <c r="H352" s="3" t="s">
        <v>1114</v>
      </c>
      <c r="I352" s="2"/>
      <c r="J352" s="2" t="s">
        <v>8</v>
      </c>
      <c r="K352" s="2">
        <v>85666</v>
      </c>
      <c r="L352" s="2">
        <v>3</v>
      </c>
      <c r="M352" s="2">
        <v>2</v>
      </c>
      <c r="N352" s="2" t="s">
        <v>8</v>
      </c>
      <c r="O352" s="2">
        <v>31</v>
      </c>
      <c r="P352" s="2">
        <f ca="1">ROUND((IF(I352="",TODAY(),I352)-H352)/365,1)</f>
        <v>8.5</v>
      </c>
      <c r="Q352" s="2" t="str">
        <f t="shared" si="5"/>
        <v>Medium</v>
      </c>
    </row>
    <row r="353" spans="1:17" x14ac:dyDescent="0.35">
      <c r="A353" s="2" t="s">
        <v>1115</v>
      </c>
      <c r="B353" s="2" t="s">
        <v>895</v>
      </c>
      <c r="C353" s="2" t="s">
        <v>9</v>
      </c>
      <c r="D353" s="2" t="s">
        <v>41</v>
      </c>
      <c r="E353" s="2" t="s">
        <v>31</v>
      </c>
      <c r="F353" s="2">
        <v>27</v>
      </c>
      <c r="G353" s="2" t="s">
        <v>56</v>
      </c>
      <c r="H353" s="3" t="s">
        <v>1116</v>
      </c>
      <c r="I353" s="2"/>
      <c r="J353" s="2" t="s">
        <v>8</v>
      </c>
      <c r="K353" s="2">
        <v>59502</v>
      </c>
      <c r="L353" s="2">
        <v>5</v>
      </c>
      <c r="M353" s="2">
        <v>2</v>
      </c>
      <c r="N353" s="2" t="s">
        <v>6</v>
      </c>
      <c r="O353" s="2">
        <v>13</v>
      </c>
      <c r="P353" s="2">
        <f ca="1">ROUND((IF(I353="",TODAY(),I353)-H353)/365,1)</f>
        <v>2.2000000000000002</v>
      </c>
      <c r="Q353" s="2" t="str">
        <f t="shared" si="5"/>
        <v>High</v>
      </c>
    </row>
    <row r="354" spans="1:17" x14ac:dyDescent="0.35">
      <c r="A354" s="2" t="s">
        <v>1117</v>
      </c>
      <c r="B354" s="2" t="s">
        <v>1118</v>
      </c>
      <c r="C354" s="2" t="s">
        <v>5</v>
      </c>
      <c r="D354" s="2" t="s">
        <v>102</v>
      </c>
      <c r="E354" s="2" t="s">
        <v>31</v>
      </c>
      <c r="F354" s="2">
        <v>23</v>
      </c>
      <c r="G354" s="2" t="s">
        <v>32</v>
      </c>
      <c r="H354" s="3" t="s">
        <v>1119</v>
      </c>
      <c r="I354" s="2"/>
      <c r="J354" s="2" t="s">
        <v>8</v>
      </c>
      <c r="K354" s="2">
        <v>143791</v>
      </c>
      <c r="L354" s="2">
        <v>5</v>
      </c>
      <c r="M354" s="2">
        <v>4</v>
      </c>
      <c r="N354" s="2" t="s">
        <v>8</v>
      </c>
      <c r="O354" s="2">
        <v>14</v>
      </c>
      <c r="P354" s="2">
        <f ca="1">ROUND((IF(I354="",TODAY(),I354)-H354)/365,1)</f>
        <v>2.5</v>
      </c>
      <c r="Q354" s="2" t="str">
        <f t="shared" si="5"/>
        <v>Low</v>
      </c>
    </row>
    <row r="355" spans="1:17" x14ac:dyDescent="0.35">
      <c r="A355" s="2" t="s">
        <v>1120</v>
      </c>
      <c r="B355" s="2" t="s">
        <v>1121</v>
      </c>
      <c r="C355" s="2" t="s">
        <v>11</v>
      </c>
      <c r="D355" s="2" t="s">
        <v>98</v>
      </c>
      <c r="E355" s="2" t="s">
        <v>46</v>
      </c>
      <c r="F355" s="2">
        <v>47</v>
      </c>
      <c r="G355" s="2" t="s">
        <v>56</v>
      </c>
      <c r="H355" s="3" t="s">
        <v>1122</v>
      </c>
      <c r="I355" s="2"/>
      <c r="J355" s="2" t="s">
        <v>8</v>
      </c>
      <c r="K355" s="2">
        <v>85909</v>
      </c>
      <c r="L355" s="2">
        <v>3</v>
      </c>
      <c r="M355" s="2">
        <v>5</v>
      </c>
      <c r="N355" s="2" t="s">
        <v>8</v>
      </c>
      <c r="O355" s="2">
        <v>9</v>
      </c>
      <c r="P355" s="2">
        <f ca="1">ROUND((IF(I355="",TODAY(),I355)-H355)/365,1)</f>
        <v>9.1</v>
      </c>
      <c r="Q355" s="2" t="str">
        <f t="shared" si="5"/>
        <v>Low</v>
      </c>
    </row>
    <row r="356" spans="1:17" x14ac:dyDescent="0.35">
      <c r="A356" s="2" t="s">
        <v>1123</v>
      </c>
      <c r="B356" s="2" t="s">
        <v>1124</v>
      </c>
      <c r="C356" s="2" t="s">
        <v>10</v>
      </c>
      <c r="D356" s="2" t="s">
        <v>258</v>
      </c>
      <c r="E356" s="2" t="s">
        <v>31</v>
      </c>
      <c r="F356" s="2">
        <v>32</v>
      </c>
      <c r="G356" s="2" t="s">
        <v>56</v>
      </c>
      <c r="H356" s="3" t="s">
        <v>1125</v>
      </c>
      <c r="I356" s="2"/>
      <c r="J356" s="2" t="s">
        <v>8</v>
      </c>
      <c r="K356" s="2">
        <v>99233</v>
      </c>
      <c r="L356" s="2">
        <v>2</v>
      </c>
      <c r="M356" s="2">
        <v>4</v>
      </c>
      <c r="N356" s="2" t="s">
        <v>8</v>
      </c>
      <c r="O356" s="2">
        <v>12</v>
      </c>
      <c r="P356" s="2">
        <f ca="1">ROUND((IF(I356="",TODAY(),I356)-H356)/365,1)</f>
        <v>3.1</v>
      </c>
      <c r="Q356" s="2" t="str">
        <f t="shared" si="5"/>
        <v>Low</v>
      </c>
    </row>
    <row r="357" spans="1:17" x14ac:dyDescent="0.35">
      <c r="A357" s="2" t="s">
        <v>1126</v>
      </c>
      <c r="B357" s="2" t="s">
        <v>1127</v>
      </c>
      <c r="C357" s="2" t="s">
        <v>7</v>
      </c>
      <c r="D357" s="2" t="s">
        <v>37</v>
      </c>
      <c r="E357" s="2" t="s">
        <v>46</v>
      </c>
      <c r="F357" s="2">
        <v>36</v>
      </c>
      <c r="G357" s="2" t="s">
        <v>32</v>
      </c>
      <c r="H357" s="3" t="s">
        <v>1128</v>
      </c>
      <c r="I357" s="2"/>
      <c r="J357" s="2" t="s">
        <v>8</v>
      </c>
      <c r="K357" s="2">
        <v>55673</v>
      </c>
      <c r="L357" s="2">
        <v>3</v>
      </c>
      <c r="M357" s="2">
        <v>1</v>
      </c>
      <c r="N357" s="2" t="s">
        <v>8</v>
      </c>
      <c r="O357" s="2">
        <v>24</v>
      </c>
      <c r="P357" s="2">
        <f ca="1">ROUND((IF(I357="",TODAY(),I357)-H357)/365,1)</f>
        <v>3.1</v>
      </c>
      <c r="Q357" s="2" t="str">
        <f t="shared" si="5"/>
        <v>Medium</v>
      </c>
    </row>
    <row r="358" spans="1:17" x14ac:dyDescent="0.35">
      <c r="A358" s="2" t="s">
        <v>1129</v>
      </c>
      <c r="B358" s="2" t="s">
        <v>665</v>
      </c>
      <c r="C358" s="2" t="s">
        <v>11</v>
      </c>
      <c r="D358" s="2" t="s">
        <v>66</v>
      </c>
      <c r="E358" s="2" t="s">
        <v>46</v>
      </c>
      <c r="F358" s="2">
        <v>24</v>
      </c>
      <c r="G358" s="2" t="s">
        <v>78</v>
      </c>
      <c r="H358" s="3" t="s">
        <v>1082</v>
      </c>
      <c r="I358" s="2"/>
      <c r="J358" s="2" t="s">
        <v>8</v>
      </c>
      <c r="K358" s="2">
        <v>108042</v>
      </c>
      <c r="L358" s="2">
        <v>1</v>
      </c>
      <c r="M358" s="2">
        <v>3</v>
      </c>
      <c r="N358" s="2" t="s">
        <v>8</v>
      </c>
      <c r="O358" s="2">
        <v>34</v>
      </c>
      <c r="P358" s="2">
        <f ca="1">ROUND((IF(I358="",TODAY(),I358)-H358)/365,1)</f>
        <v>11.2</v>
      </c>
      <c r="Q358" s="2" t="str">
        <f t="shared" si="5"/>
        <v>Low</v>
      </c>
    </row>
    <row r="359" spans="1:17" x14ac:dyDescent="0.35">
      <c r="A359" s="2" t="s">
        <v>1130</v>
      </c>
      <c r="B359" s="2" t="s">
        <v>69</v>
      </c>
      <c r="C359" s="2" t="s">
        <v>9</v>
      </c>
      <c r="D359" s="2" t="s">
        <v>77</v>
      </c>
      <c r="E359" s="2" t="s">
        <v>31</v>
      </c>
      <c r="F359" s="2">
        <v>45</v>
      </c>
      <c r="G359" s="2" t="s">
        <v>32</v>
      </c>
      <c r="H359" s="3" t="s">
        <v>1131</v>
      </c>
      <c r="I359" s="2"/>
      <c r="J359" s="2" t="s">
        <v>8</v>
      </c>
      <c r="K359" s="2">
        <v>74326</v>
      </c>
      <c r="L359" s="2">
        <v>5</v>
      </c>
      <c r="M359" s="2">
        <v>1</v>
      </c>
      <c r="N359" s="2" t="s">
        <v>8</v>
      </c>
      <c r="O359" s="2">
        <v>17</v>
      </c>
      <c r="P359" s="2">
        <f ca="1">ROUND((IF(I359="",TODAY(),I359)-H359)/365,1)</f>
        <v>5</v>
      </c>
      <c r="Q359" s="2" t="str">
        <f t="shared" si="5"/>
        <v>Medium</v>
      </c>
    </row>
    <row r="360" spans="1:17" x14ac:dyDescent="0.35">
      <c r="A360" s="2" t="s">
        <v>1132</v>
      </c>
      <c r="B360" s="2" t="s">
        <v>548</v>
      </c>
      <c r="C360" s="2" t="s">
        <v>9</v>
      </c>
      <c r="D360" s="2" t="s">
        <v>41</v>
      </c>
      <c r="E360" s="2" t="s">
        <v>46</v>
      </c>
      <c r="F360" s="2">
        <v>22</v>
      </c>
      <c r="G360" s="2" t="s">
        <v>56</v>
      </c>
      <c r="H360" s="3" t="s">
        <v>1133</v>
      </c>
      <c r="I360" s="2"/>
      <c r="J360" s="2" t="s">
        <v>8</v>
      </c>
      <c r="K360" s="2">
        <v>35104</v>
      </c>
      <c r="L360" s="2">
        <v>2</v>
      </c>
      <c r="M360" s="2">
        <v>4</v>
      </c>
      <c r="N360" s="2" t="s">
        <v>8</v>
      </c>
      <c r="O360" s="2">
        <v>15</v>
      </c>
      <c r="P360" s="2">
        <f ca="1">ROUND((IF(I360="",TODAY(),I360)-H360)/365,1)</f>
        <v>6</v>
      </c>
      <c r="Q360" s="2" t="str">
        <f t="shared" si="5"/>
        <v>Low</v>
      </c>
    </row>
    <row r="361" spans="1:17" x14ac:dyDescent="0.35">
      <c r="A361" s="2" t="s">
        <v>1134</v>
      </c>
      <c r="B361" s="2" t="s">
        <v>1135</v>
      </c>
      <c r="C361" s="2" t="s">
        <v>7</v>
      </c>
      <c r="D361" s="2" t="s">
        <v>155</v>
      </c>
      <c r="E361" s="2" t="s">
        <v>31</v>
      </c>
      <c r="F361" s="2">
        <v>29</v>
      </c>
      <c r="G361" s="2" t="s">
        <v>78</v>
      </c>
      <c r="H361" s="3" t="s">
        <v>1136</v>
      </c>
      <c r="I361" s="2"/>
      <c r="J361" s="2" t="s">
        <v>8</v>
      </c>
      <c r="K361" s="2">
        <v>113503</v>
      </c>
      <c r="L361" s="2">
        <v>1</v>
      </c>
      <c r="M361" s="2">
        <v>3</v>
      </c>
      <c r="N361" s="2" t="s">
        <v>6</v>
      </c>
      <c r="O361" s="2">
        <v>31</v>
      </c>
      <c r="P361" s="2">
        <f ca="1">ROUND((IF(I361="",TODAY(),I361)-H361)/365,1)</f>
        <v>4.2</v>
      </c>
      <c r="Q361" s="2" t="str">
        <f t="shared" si="5"/>
        <v>Medium</v>
      </c>
    </row>
    <row r="362" spans="1:17" x14ac:dyDescent="0.35">
      <c r="A362" s="2" t="s">
        <v>1137</v>
      </c>
      <c r="B362" s="2" t="s">
        <v>1138</v>
      </c>
      <c r="C362" s="2" t="s">
        <v>11</v>
      </c>
      <c r="D362" s="2" t="s">
        <v>45</v>
      </c>
      <c r="E362" s="2" t="s">
        <v>46</v>
      </c>
      <c r="F362" s="2">
        <v>24</v>
      </c>
      <c r="G362" s="2" t="s">
        <v>32</v>
      </c>
      <c r="H362" s="3" t="s">
        <v>1139</v>
      </c>
      <c r="I362" s="2"/>
      <c r="J362" s="2" t="s">
        <v>8</v>
      </c>
      <c r="K362" s="2">
        <v>92193</v>
      </c>
      <c r="L362" s="2">
        <v>2</v>
      </c>
      <c r="M362" s="2">
        <v>2</v>
      </c>
      <c r="N362" s="2" t="s">
        <v>8</v>
      </c>
      <c r="O362" s="2">
        <v>41</v>
      </c>
      <c r="P362" s="2">
        <f ca="1">ROUND((IF(I362="",TODAY(),I362)-H362)/365,1)</f>
        <v>10.199999999999999</v>
      </c>
      <c r="Q362" s="2" t="str">
        <f t="shared" si="5"/>
        <v>Medium</v>
      </c>
    </row>
    <row r="363" spans="1:17" x14ac:dyDescent="0.35">
      <c r="A363" s="2" t="s">
        <v>1140</v>
      </c>
      <c r="B363" s="2" t="s">
        <v>151</v>
      </c>
      <c r="C363" s="2" t="s">
        <v>7</v>
      </c>
      <c r="D363" s="2" t="s">
        <v>155</v>
      </c>
      <c r="E363" s="2" t="s">
        <v>31</v>
      </c>
      <c r="F363" s="2">
        <v>55</v>
      </c>
      <c r="G363" s="2" t="s">
        <v>78</v>
      </c>
      <c r="H363" s="3" t="s">
        <v>1141</v>
      </c>
      <c r="I363" s="2"/>
      <c r="J363" s="2" t="s">
        <v>8</v>
      </c>
      <c r="K363" s="2">
        <v>132649</v>
      </c>
      <c r="L363" s="2">
        <v>1</v>
      </c>
      <c r="M363" s="2">
        <v>5</v>
      </c>
      <c r="N363" s="2" t="s">
        <v>8</v>
      </c>
      <c r="O363" s="2">
        <v>43</v>
      </c>
      <c r="P363" s="2">
        <f ca="1">ROUND((IF(I363="",TODAY(),I363)-H363)/365,1)</f>
        <v>7.1</v>
      </c>
      <c r="Q363" s="2" t="str">
        <f t="shared" si="5"/>
        <v>Low</v>
      </c>
    </row>
    <row r="364" spans="1:17" x14ac:dyDescent="0.35">
      <c r="A364" s="2" t="s">
        <v>1142</v>
      </c>
      <c r="B364" s="2" t="s">
        <v>760</v>
      </c>
      <c r="C364" s="2" t="s">
        <v>7</v>
      </c>
      <c r="D364" s="2" t="s">
        <v>125</v>
      </c>
      <c r="E364" s="2" t="s">
        <v>46</v>
      </c>
      <c r="F364" s="2">
        <v>36</v>
      </c>
      <c r="G364" s="2" t="s">
        <v>56</v>
      </c>
      <c r="H364" s="3" t="s">
        <v>1143</v>
      </c>
      <c r="I364" s="2"/>
      <c r="J364" s="2" t="s">
        <v>8</v>
      </c>
      <c r="K364" s="2">
        <v>106685</v>
      </c>
      <c r="L364" s="2">
        <v>5</v>
      </c>
      <c r="M364" s="2">
        <v>2</v>
      </c>
      <c r="N364" s="2" t="s">
        <v>8</v>
      </c>
      <c r="O364" s="2">
        <v>12</v>
      </c>
      <c r="P364" s="2">
        <f ca="1">ROUND((IF(I364="",TODAY(),I364)-H364)/365,1)</f>
        <v>2.2999999999999998</v>
      </c>
      <c r="Q364" s="2" t="str">
        <f t="shared" si="5"/>
        <v>Medium</v>
      </c>
    </row>
    <row r="365" spans="1:17" x14ac:dyDescent="0.35">
      <c r="A365" s="2" t="s">
        <v>1144</v>
      </c>
      <c r="B365" s="2" t="s">
        <v>1145</v>
      </c>
      <c r="C365" s="2" t="s">
        <v>7</v>
      </c>
      <c r="D365" s="2" t="s">
        <v>37</v>
      </c>
      <c r="E365" s="2" t="s">
        <v>46</v>
      </c>
      <c r="F365" s="2">
        <v>26</v>
      </c>
      <c r="G365" s="2" t="s">
        <v>56</v>
      </c>
      <c r="H365" s="3" t="s">
        <v>1146</v>
      </c>
      <c r="I365" s="2"/>
      <c r="J365" s="2" t="s">
        <v>8</v>
      </c>
      <c r="K365" s="2">
        <v>51522</v>
      </c>
      <c r="L365" s="2">
        <v>1</v>
      </c>
      <c r="M365" s="2">
        <v>2</v>
      </c>
      <c r="N365" s="2" t="s">
        <v>8</v>
      </c>
      <c r="O365" s="2">
        <v>2</v>
      </c>
      <c r="P365" s="2">
        <f ca="1">ROUND((IF(I365="",TODAY(),I365)-H365)/365,1)</f>
        <v>9</v>
      </c>
      <c r="Q365" s="2" t="str">
        <f t="shared" si="5"/>
        <v>Medium</v>
      </c>
    </row>
    <row r="366" spans="1:17" x14ac:dyDescent="0.35">
      <c r="A366" s="2" t="s">
        <v>1147</v>
      </c>
      <c r="B366" s="2" t="s">
        <v>440</v>
      </c>
      <c r="C366" s="2" t="s">
        <v>11</v>
      </c>
      <c r="D366" s="2" t="s">
        <v>98</v>
      </c>
      <c r="E366" s="2" t="s">
        <v>46</v>
      </c>
      <c r="F366" s="2">
        <v>28</v>
      </c>
      <c r="G366" s="2" t="s">
        <v>56</v>
      </c>
      <c r="H366" s="3" t="s">
        <v>1148</v>
      </c>
      <c r="I366" s="2"/>
      <c r="J366" s="2" t="s">
        <v>8</v>
      </c>
      <c r="K366" s="2">
        <v>140048</v>
      </c>
      <c r="L366" s="2">
        <v>5</v>
      </c>
      <c r="M366" s="2">
        <v>5</v>
      </c>
      <c r="N366" s="2" t="s">
        <v>8</v>
      </c>
      <c r="O366" s="2">
        <v>3</v>
      </c>
      <c r="P366" s="2">
        <f ca="1">ROUND((IF(I366="",TODAY(),I366)-H366)/365,1)</f>
        <v>9.6</v>
      </c>
      <c r="Q366" s="2" t="str">
        <f t="shared" si="5"/>
        <v>Low</v>
      </c>
    </row>
    <row r="367" spans="1:17" x14ac:dyDescent="0.35">
      <c r="A367" s="2" t="s">
        <v>1149</v>
      </c>
      <c r="B367" s="2" t="s">
        <v>440</v>
      </c>
      <c r="C367" s="2" t="s">
        <v>5</v>
      </c>
      <c r="D367" s="2" t="s">
        <v>94</v>
      </c>
      <c r="E367" s="2" t="s">
        <v>46</v>
      </c>
      <c r="F367" s="2">
        <v>56</v>
      </c>
      <c r="G367" s="2" t="s">
        <v>32</v>
      </c>
      <c r="H367" s="3" t="s">
        <v>1150</v>
      </c>
      <c r="I367" s="2"/>
      <c r="J367" s="2" t="s">
        <v>8</v>
      </c>
      <c r="K367" s="2">
        <v>73546</v>
      </c>
      <c r="L367" s="2">
        <v>5</v>
      </c>
      <c r="M367" s="2">
        <v>4</v>
      </c>
      <c r="N367" s="2" t="s">
        <v>6</v>
      </c>
      <c r="O367" s="2">
        <v>27</v>
      </c>
      <c r="P367" s="2">
        <f ca="1">ROUND((IF(I367="",TODAY(),I367)-H367)/365,1)</f>
        <v>2.2999999999999998</v>
      </c>
      <c r="Q367" s="2" t="str">
        <f t="shared" si="5"/>
        <v>Medium</v>
      </c>
    </row>
    <row r="368" spans="1:17" x14ac:dyDescent="0.35">
      <c r="A368" s="2" t="s">
        <v>1151</v>
      </c>
      <c r="B368" s="2" t="s">
        <v>1152</v>
      </c>
      <c r="C368" s="2" t="s">
        <v>10</v>
      </c>
      <c r="D368" s="2" t="s">
        <v>111</v>
      </c>
      <c r="E368" s="2" t="s">
        <v>46</v>
      </c>
      <c r="F368" s="2">
        <v>58</v>
      </c>
      <c r="G368" s="2" t="s">
        <v>32</v>
      </c>
      <c r="H368" s="3" t="s">
        <v>1153</v>
      </c>
      <c r="I368" s="2"/>
      <c r="J368" s="2" t="s">
        <v>8</v>
      </c>
      <c r="K368" s="2">
        <v>144286</v>
      </c>
      <c r="L368" s="2">
        <v>4</v>
      </c>
      <c r="M368" s="2">
        <v>3</v>
      </c>
      <c r="N368" s="2" t="s">
        <v>8</v>
      </c>
      <c r="O368" s="2">
        <v>15</v>
      </c>
      <c r="P368" s="2">
        <f ca="1">ROUND((IF(I368="",TODAY(),I368)-H368)/365,1)</f>
        <v>10.5</v>
      </c>
      <c r="Q368" s="2" t="str">
        <f t="shared" si="5"/>
        <v>Low</v>
      </c>
    </row>
    <row r="369" spans="1:17" x14ac:dyDescent="0.35">
      <c r="A369" s="2" t="s">
        <v>1154</v>
      </c>
      <c r="B369" s="2" t="s">
        <v>1155</v>
      </c>
      <c r="C369" s="2" t="s">
        <v>11</v>
      </c>
      <c r="D369" s="2" t="s">
        <v>66</v>
      </c>
      <c r="E369" s="2" t="s">
        <v>46</v>
      </c>
      <c r="F369" s="2">
        <v>22</v>
      </c>
      <c r="G369" s="2" t="s">
        <v>32</v>
      </c>
      <c r="H369" s="3" t="s">
        <v>1156</v>
      </c>
      <c r="I369" s="2"/>
      <c r="J369" s="2" t="s">
        <v>8</v>
      </c>
      <c r="K369" s="2">
        <v>110792</v>
      </c>
      <c r="L369" s="2">
        <v>1</v>
      </c>
      <c r="M369" s="2">
        <v>5</v>
      </c>
      <c r="N369" s="2" t="s">
        <v>8</v>
      </c>
      <c r="O369" s="2">
        <v>25</v>
      </c>
      <c r="P369" s="2">
        <f ca="1">ROUND((IF(I369="",TODAY(),I369)-H369)/365,1)</f>
        <v>5.0999999999999996</v>
      </c>
      <c r="Q369" s="2" t="str">
        <f t="shared" si="5"/>
        <v>Low</v>
      </c>
    </row>
    <row r="370" spans="1:17" x14ac:dyDescent="0.35">
      <c r="A370" s="2" t="s">
        <v>1157</v>
      </c>
      <c r="B370" s="2" t="s">
        <v>343</v>
      </c>
      <c r="C370" s="2" t="s">
        <v>9</v>
      </c>
      <c r="D370" s="2" t="s">
        <v>41</v>
      </c>
      <c r="E370" s="2" t="s">
        <v>46</v>
      </c>
      <c r="F370" s="2">
        <v>49</v>
      </c>
      <c r="G370" s="2" t="s">
        <v>78</v>
      </c>
      <c r="H370" s="3" t="s">
        <v>1158</v>
      </c>
      <c r="I370" s="2"/>
      <c r="J370" s="2" t="s">
        <v>8</v>
      </c>
      <c r="K370" s="2">
        <v>99012</v>
      </c>
      <c r="L370" s="2">
        <v>5</v>
      </c>
      <c r="M370" s="2">
        <v>3</v>
      </c>
      <c r="N370" s="2" t="s">
        <v>8</v>
      </c>
      <c r="O370" s="2">
        <v>28</v>
      </c>
      <c r="P370" s="2">
        <f ca="1">ROUND((IF(I370="",TODAY(),I370)-H370)/365,1)</f>
        <v>4.3</v>
      </c>
      <c r="Q370" s="2" t="str">
        <f t="shared" si="5"/>
        <v>Low</v>
      </c>
    </row>
    <row r="371" spans="1:17" x14ac:dyDescent="0.35">
      <c r="A371" s="2" t="s">
        <v>1159</v>
      </c>
      <c r="B371" s="2" t="s">
        <v>643</v>
      </c>
      <c r="C371" s="2" t="s">
        <v>12</v>
      </c>
      <c r="D371" s="2" t="s">
        <v>133</v>
      </c>
      <c r="E371" s="2" t="s">
        <v>31</v>
      </c>
      <c r="F371" s="2">
        <v>57</v>
      </c>
      <c r="G371" s="2" t="s">
        <v>78</v>
      </c>
      <c r="H371" s="3" t="s">
        <v>1160</v>
      </c>
      <c r="I371" s="2"/>
      <c r="J371" s="2" t="s">
        <v>8</v>
      </c>
      <c r="K371" s="2">
        <v>58263</v>
      </c>
      <c r="L371" s="2">
        <v>5</v>
      </c>
      <c r="M371" s="2">
        <v>5</v>
      </c>
      <c r="N371" s="2" t="s">
        <v>6</v>
      </c>
      <c r="O371" s="2">
        <v>31</v>
      </c>
      <c r="P371" s="2">
        <f ca="1">ROUND((IF(I371="",TODAY(),I371)-H371)/365,1)</f>
        <v>6.2</v>
      </c>
      <c r="Q371" s="2" t="str">
        <f t="shared" si="5"/>
        <v>Medium</v>
      </c>
    </row>
    <row r="372" spans="1:17" x14ac:dyDescent="0.35">
      <c r="A372" s="2" t="s">
        <v>1161</v>
      </c>
      <c r="B372" s="2" t="s">
        <v>1162</v>
      </c>
      <c r="C372" s="2" t="s">
        <v>12</v>
      </c>
      <c r="D372" s="2" t="s">
        <v>133</v>
      </c>
      <c r="E372" s="2" t="s">
        <v>31</v>
      </c>
      <c r="F372" s="2">
        <v>50</v>
      </c>
      <c r="G372" s="2" t="s">
        <v>78</v>
      </c>
      <c r="H372" s="3" t="s">
        <v>1163</v>
      </c>
      <c r="I372" s="2"/>
      <c r="J372" s="2" t="s">
        <v>8</v>
      </c>
      <c r="K372" s="2">
        <v>91629</v>
      </c>
      <c r="L372" s="2">
        <v>1</v>
      </c>
      <c r="M372" s="2">
        <v>2</v>
      </c>
      <c r="N372" s="2" t="s">
        <v>8</v>
      </c>
      <c r="O372" s="2">
        <v>14</v>
      </c>
      <c r="P372" s="2">
        <f ca="1">ROUND((IF(I372="",TODAY(),I372)-H372)/365,1)</f>
        <v>2.8</v>
      </c>
      <c r="Q372" s="2" t="str">
        <f t="shared" si="5"/>
        <v>Medium</v>
      </c>
    </row>
    <row r="373" spans="1:17" x14ac:dyDescent="0.35">
      <c r="A373" s="2" t="s">
        <v>1164</v>
      </c>
      <c r="B373" s="2" t="s">
        <v>1165</v>
      </c>
      <c r="C373" s="2" t="s">
        <v>11</v>
      </c>
      <c r="D373" s="2" t="s">
        <v>98</v>
      </c>
      <c r="E373" s="2" t="s">
        <v>31</v>
      </c>
      <c r="F373" s="2">
        <v>22</v>
      </c>
      <c r="G373" s="2" t="s">
        <v>32</v>
      </c>
      <c r="H373" s="3" t="s">
        <v>1166</v>
      </c>
      <c r="I373" s="3" t="s">
        <v>1167</v>
      </c>
      <c r="J373" s="2" t="s">
        <v>6</v>
      </c>
      <c r="K373" s="2">
        <v>82065</v>
      </c>
      <c r="L373" s="2">
        <v>4</v>
      </c>
      <c r="M373" s="2">
        <v>2</v>
      </c>
      <c r="N373" s="2" t="s">
        <v>6</v>
      </c>
      <c r="O373" s="2">
        <v>39</v>
      </c>
      <c r="P373" s="2">
        <f ca="1">ROUND((IF(I373="",TODAY(),I373)-H373)/365,1)</f>
        <v>0.8</v>
      </c>
      <c r="Q373" s="2" t="str">
        <f t="shared" si="5"/>
        <v>N/A</v>
      </c>
    </row>
    <row r="374" spans="1:17" x14ac:dyDescent="0.35">
      <c r="A374" s="2" t="s">
        <v>1168</v>
      </c>
      <c r="B374" s="2" t="s">
        <v>69</v>
      </c>
      <c r="C374" s="2" t="s">
        <v>9</v>
      </c>
      <c r="D374" s="2" t="s">
        <v>51</v>
      </c>
      <c r="E374" s="2" t="s">
        <v>31</v>
      </c>
      <c r="F374" s="2">
        <v>55</v>
      </c>
      <c r="G374" s="2" t="s">
        <v>78</v>
      </c>
      <c r="H374" s="3" t="s">
        <v>1169</v>
      </c>
      <c r="I374" s="2"/>
      <c r="J374" s="2" t="s">
        <v>8</v>
      </c>
      <c r="K374" s="2">
        <v>108924</v>
      </c>
      <c r="L374" s="2">
        <v>1</v>
      </c>
      <c r="M374" s="2">
        <v>5</v>
      </c>
      <c r="N374" s="2" t="s">
        <v>8</v>
      </c>
      <c r="O374" s="2">
        <v>12</v>
      </c>
      <c r="P374" s="2">
        <f ca="1">ROUND((IF(I374="",TODAY(),I374)-H374)/365,1)</f>
        <v>8.4</v>
      </c>
      <c r="Q374" s="2" t="str">
        <f t="shared" si="5"/>
        <v>Low</v>
      </c>
    </row>
    <row r="375" spans="1:17" x14ac:dyDescent="0.35">
      <c r="A375" s="2" t="s">
        <v>1170</v>
      </c>
      <c r="B375" s="2" t="s">
        <v>1171</v>
      </c>
      <c r="C375" s="2" t="s">
        <v>7</v>
      </c>
      <c r="D375" s="2" t="s">
        <v>37</v>
      </c>
      <c r="E375" s="2" t="s">
        <v>46</v>
      </c>
      <c r="F375" s="2">
        <v>54</v>
      </c>
      <c r="G375" s="2" t="s">
        <v>78</v>
      </c>
      <c r="H375" s="3" t="s">
        <v>1172</v>
      </c>
      <c r="I375" s="2"/>
      <c r="J375" s="2" t="s">
        <v>8</v>
      </c>
      <c r="K375" s="2">
        <v>29726</v>
      </c>
      <c r="L375" s="2">
        <v>2</v>
      </c>
      <c r="M375" s="2">
        <v>5</v>
      </c>
      <c r="N375" s="2" t="s">
        <v>8</v>
      </c>
      <c r="O375" s="2">
        <v>44</v>
      </c>
      <c r="P375" s="2">
        <f ca="1">ROUND((IF(I375="",TODAY(),I375)-H375)/365,1)</f>
        <v>5.8</v>
      </c>
      <c r="Q375" s="2" t="str">
        <f t="shared" si="5"/>
        <v>Low</v>
      </c>
    </row>
    <row r="376" spans="1:17" x14ac:dyDescent="0.35">
      <c r="A376" s="2" t="s">
        <v>1173</v>
      </c>
      <c r="B376" s="2" t="s">
        <v>1174</v>
      </c>
      <c r="C376" s="2" t="s">
        <v>5</v>
      </c>
      <c r="D376" s="2" t="s">
        <v>94</v>
      </c>
      <c r="E376" s="2" t="s">
        <v>31</v>
      </c>
      <c r="F376" s="2">
        <v>44</v>
      </c>
      <c r="G376" s="2" t="s">
        <v>56</v>
      </c>
      <c r="H376" s="3" t="s">
        <v>1175</v>
      </c>
      <c r="I376" s="2"/>
      <c r="J376" s="2" t="s">
        <v>8</v>
      </c>
      <c r="K376" s="2">
        <v>27014</v>
      </c>
      <c r="L376" s="2">
        <v>2</v>
      </c>
      <c r="M376" s="2">
        <v>5</v>
      </c>
      <c r="N376" s="2" t="s">
        <v>8</v>
      </c>
      <c r="O376" s="2">
        <v>34</v>
      </c>
      <c r="P376" s="2">
        <f ca="1">ROUND((IF(I376="",TODAY(),I376)-H376)/365,1)</f>
        <v>4.0999999999999996</v>
      </c>
      <c r="Q376" s="2" t="str">
        <f t="shared" si="5"/>
        <v>Low</v>
      </c>
    </row>
    <row r="377" spans="1:17" x14ac:dyDescent="0.35">
      <c r="A377" s="2" t="s">
        <v>1176</v>
      </c>
      <c r="B377" s="2" t="s">
        <v>1177</v>
      </c>
      <c r="C377" s="2" t="s">
        <v>5</v>
      </c>
      <c r="D377" s="2" t="s">
        <v>102</v>
      </c>
      <c r="E377" s="2" t="s">
        <v>46</v>
      </c>
      <c r="F377" s="2">
        <v>44</v>
      </c>
      <c r="G377" s="2" t="s">
        <v>78</v>
      </c>
      <c r="H377" s="3" t="s">
        <v>1178</v>
      </c>
      <c r="I377" s="2"/>
      <c r="J377" s="2" t="s">
        <v>8</v>
      </c>
      <c r="K377" s="2">
        <v>50496</v>
      </c>
      <c r="L377" s="2">
        <v>2</v>
      </c>
      <c r="M377" s="2">
        <v>3</v>
      </c>
      <c r="N377" s="2" t="s">
        <v>8</v>
      </c>
      <c r="O377" s="2">
        <v>39</v>
      </c>
      <c r="P377" s="2">
        <f ca="1">ROUND((IF(I377="",TODAY(),I377)-H377)/365,1)</f>
        <v>7.7</v>
      </c>
      <c r="Q377" s="2" t="str">
        <f t="shared" si="5"/>
        <v>Low</v>
      </c>
    </row>
    <row r="378" spans="1:17" x14ac:dyDescent="0.35">
      <c r="A378" s="2" t="s">
        <v>1179</v>
      </c>
      <c r="B378" s="2" t="s">
        <v>1180</v>
      </c>
      <c r="C378" s="2" t="s">
        <v>11</v>
      </c>
      <c r="D378" s="2" t="s">
        <v>45</v>
      </c>
      <c r="E378" s="2" t="s">
        <v>46</v>
      </c>
      <c r="F378" s="2">
        <v>54</v>
      </c>
      <c r="G378" s="2" t="s">
        <v>32</v>
      </c>
      <c r="H378" s="3" t="s">
        <v>1181</v>
      </c>
      <c r="I378" s="2"/>
      <c r="J378" s="2" t="s">
        <v>8</v>
      </c>
      <c r="K378" s="2">
        <v>149127</v>
      </c>
      <c r="L378" s="2">
        <v>3</v>
      </c>
      <c r="M378" s="2">
        <v>5</v>
      </c>
      <c r="N378" s="2" t="s">
        <v>8</v>
      </c>
      <c r="O378" s="2">
        <v>22</v>
      </c>
      <c r="P378" s="2">
        <f ca="1">ROUND((IF(I378="",TODAY(),I378)-H378)/365,1)</f>
        <v>10.4</v>
      </c>
      <c r="Q378" s="2" t="str">
        <f t="shared" si="5"/>
        <v>Low</v>
      </c>
    </row>
    <row r="379" spans="1:17" x14ac:dyDescent="0.35">
      <c r="A379" s="2" t="s">
        <v>1182</v>
      </c>
      <c r="B379" s="2" t="s">
        <v>1183</v>
      </c>
      <c r="C379" s="2" t="s">
        <v>9</v>
      </c>
      <c r="D379" s="2" t="s">
        <v>77</v>
      </c>
      <c r="E379" s="2" t="s">
        <v>46</v>
      </c>
      <c r="F379" s="2">
        <v>58</v>
      </c>
      <c r="G379" s="2" t="s">
        <v>56</v>
      </c>
      <c r="H379" s="3" t="s">
        <v>1184</v>
      </c>
      <c r="I379" s="2"/>
      <c r="J379" s="2" t="s">
        <v>8</v>
      </c>
      <c r="K379" s="2">
        <v>85387</v>
      </c>
      <c r="L379" s="2">
        <v>4</v>
      </c>
      <c r="M379" s="2">
        <v>3</v>
      </c>
      <c r="N379" s="2" t="s">
        <v>8</v>
      </c>
      <c r="O379" s="2">
        <v>44</v>
      </c>
      <c r="P379" s="2">
        <f ca="1">ROUND((IF(I379="",TODAY(),I379)-H379)/365,1)</f>
        <v>6.2</v>
      </c>
      <c r="Q379" s="2" t="str">
        <f t="shared" si="5"/>
        <v>Low</v>
      </c>
    </row>
    <row r="380" spans="1:17" x14ac:dyDescent="0.35">
      <c r="A380" s="2" t="s">
        <v>1185</v>
      </c>
      <c r="B380" s="2" t="s">
        <v>1186</v>
      </c>
      <c r="C380" s="2" t="s">
        <v>10</v>
      </c>
      <c r="D380" s="2" t="s">
        <v>111</v>
      </c>
      <c r="E380" s="2" t="s">
        <v>46</v>
      </c>
      <c r="F380" s="2">
        <v>36</v>
      </c>
      <c r="G380" s="2" t="s">
        <v>56</v>
      </c>
      <c r="H380" s="3" t="s">
        <v>1187</v>
      </c>
      <c r="I380" s="3" t="s">
        <v>1188</v>
      </c>
      <c r="J380" s="2" t="s">
        <v>6</v>
      </c>
      <c r="K380" s="2">
        <v>92699</v>
      </c>
      <c r="L380" s="2">
        <v>4</v>
      </c>
      <c r="M380" s="2">
        <v>3</v>
      </c>
      <c r="N380" s="2" t="s">
        <v>8</v>
      </c>
      <c r="O380" s="2">
        <v>23</v>
      </c>
      <c r="P380" s="2">
        <f ca="1">ROUND((IF(I380="",TODAY(),I380)-H380)/365,1)</f>
        <v>1.6</v>
      </c>
      <c r="Q380" s="2" t="str">
        <f t="shared" si="5"/>
        <v>N/A</v>
      </c>
    </row>
    <row r="381" spans="1:17" x14ac:dyDescent="0.35">
      <c r="A381" s="2" t="s">
        <v>1189</v>
      </c>
      <c r="B381" s="2" t="s">
        <v>1190</v>
      </c>
      <c r="C381" s="2" t="s">
        <v>7</v>
      </c>
      <c r="D381" s="2" t="s">
        <v>125</v>
      </c>
      <c r="E381" s="2" t="s">
        <v>31</v>
      </c>
      <c r="F381" s="2">
        <v>26</v>
      </c>
      <c r="G381" s="2" t="s">
        <v>56</v>
      </c>
      <c r="H381" s="3" t="s">
        <v>1191</v>
      </c>
      <c r="I381" s="2"/>
      <c r="J381" s="2" t="s">
        <v>8</v>
      </c>
      <c r="K381" s="2">
        <v>53647</v>
      </c>
      <c r="L381" s="2">
        <v>3</v>
      </c>
      <c r="M381" s="2">
        <v>4</v>
      </c>
      <c r="N381" s="2" t="s">
        <v>8</v>
      </c>
      <c r="O381" s="2">
        <v>23</v>
      </c>
      <c r="P381" s="2">
        <f ca="1">ROUND((IF(I381="",TODAY(),I381)-H381)/365,1)</f>
        <v>5.4</v>
      </c>
      <c r="Q381" s="2" t="str">
        <f t="shared" si="5"/>
        <v>Low</v>
      </c>
    </row>
    <row r="382" spans="1:17" x14ac:dyDescent="0.35">
      <c r="A382" s="2" t="s">
        <v>1192</v>
      </c>
      <c r="B382" s="2" t="s">
        <v>978</v>
      </c>
      <c r="C382" s="2" t="s">
        <v>12</v>
      </c>
      <c r="D382" s="2" t="s">
        <v>55</v>
      </c>
      <c r="E382" s="2" t="s">
        <v>31</v>
      </c>
      <c r="F382" s="2">
        <v>37</v>
      </c>
      <c r="G382" s="2" t="s">
        <v>32</v>
      </c>
      <c r="H382" s="3" t="s">
        <v>1193</v>
      </c>
      <c r="I382" s="2"/>
      <c r="J382" s="2" t="s">
        <v>8</v>
      </c>
      <c r="K382" s="2">
        <v>51577</v>
      </c>
      <c r="L382" s="2">
        <v>2</v>
      </c>
      <c r="M382" s="2">
        <v>3</v>
      </c>
      <c r="N382" s="2" t="s">
        <v>6</v>
      </c>
      <c r="O382" s="2">
        <v>15</v>
      </c>
      <c r="P382" s="2">
        <f ca="1">ROUND((IF(I382="",TODAY(),I382)-H382)/365,1)</f>
        <v>3.4</v>
      </c>
      <c r="Q382" s="2" t="str">
        <f t="shared" si="5"/>
        <v>Medium</v>
      </c>
    </row>
    <row r="383" spans="1:17" x14ac:dyDescent="0.35">
      <c r="A383" s="2" t="s">
        <v>1194</v>
      </c>
      <c r="B383" s="2" t="s">
        <v>1195</v>
      </c>
      <c r="C383" s="2" t="s">
        <v>9</v>
      </c>
      <c r="D383" s="2" t="s">
        <v>51</v>
      </c>
      <c r="E383" s="2" t="s">
        <v>31</v>
      </c>
      <c r="F383" s="2">
        <v>53</v>
      </c>
      <c r="G383" s="2" t="s">
        <v>56</v>
      </c>
      <c r="H383" s="3" t="s">
        <v>1196</v>
      </c>
      <c r="I383" s="2"/>
      <c r="J383" s="2" t="s">
        <v>8</v>
      </c>
      <c r="K383" s="2">
        <v>73653</v>
      </c>
      <c r="L383" s="2">
        <v>1</v>
      </c>
      <c r="M383" s="2">
        <v>5</v>
      </c>
      <c r="N383" s="2" t="s">
        <v>6</v>
      </c>
      <c r="O383" s="2">
        <v>31</v>
      </c>
      <c r="P383" s="2">
        <f ca="1">ROUND((IF(I383="",TODAY(),I383)-H383)/365,1)</f>
        <v>4.7</v>
      </c>
      <c r="Q383" s="2" t="str">
        <f t="shared" si="5"/>
        <v>Medium</v>
      </c>
    </row>
    <row r="384" spans="1:17" x14ac:dyDescent="0.35">
      <c r="A384" s="2" t="s">
        <v>1197</v>
      </c>
      <c r="B384" s="2" t="s">
        <v>1198</v>
      </c>
      <c r="C384" s="2" t="s">
        <v>11</v>
      </c>
      <c r="D384" s="2" t="s">
        <v>66</v>
      </c>
      <c r="E384" s="2" t="s">
        <v>46</v>
      </c>
      <c r="F384" s="2">
        <v>39</v>
      </c>
      <c r="G384" s="2" t="s">
        <v>78</v>
      </c>
      <c r="H384" s="3" t="s">
        <v>1199</v>
      </c>
      <c r="I384" s="2"/>
      <c r="J384" s="2" t="s">
        <v>8</v>
      </c>
      <c r="K384" s="2">
        <v>93909</v>
      </c>
      <c r="L384" s="2">
        <v>2</v>
      </c>
      <c r="M384" s="2">
        <v>5</v>
      </c>
      <c r="N384" s="2" t="s">
        <v>6</v>
      </c>
      <c r="O384" s="2">
        <v>4</v>
      </c>
      <c r="P384" s="2">
        <f ca="1">ROUND((IF(I384="",TODAY(),I384)-H384)/365,1)</f>
        <v>7.1</v>
      </c>
      <c r="Q384" s="2" t="str">
        <f t="shared" si="5"/>
        <v>Medium</v>
      </c>
    </row>
    <row r="385" spans="1:17" x14ac:dyDescent="0.35">
      <c r="A385" s="2" t="s">
        <v>1200</v>
      </c>
      <c r="B385" s="2" t="s">
        <v>1201</v>
      </c>
      <c r="C385" s="2" t="s">
        <v>11</v>
      </c>
      <c r="D385" s="2" t="s">
        <v>45</v>
      </c>
      <c r="E385" s="2" t="s">
        <v>46</v>
      </c>
      <c r="F385" s="2">
        <v>51</v>
      </c>
      <c r="G385" s="2" t="s">
        <v>32</v>
      </c>
      <c r="H385" s="3" t="s">
        <v>1202</v>
      </c>
      <c r="I385" s="2"/>
      <c r="J385" s="2" t="s">
        <v>8</v>
      </c>
      <c r="K385" s="2">
        <v>26103</v>
      </c>
      <c r="L385" s="2">
        <v>3</v>
      </c>
      <c r="M385" s="2">
        <v>4</v>
      </c>
      <c r="N385" s="2" t="s">
        <v>8</v>
      </c>
      <c r="O385" s="2">
        <v>45</v>
      </c>
      <c r="P385" s="2">
        <f ca="1">ROUND((IF(I385="",TODAY(),I385)-H385)/365,1)</f>
        <v>10.3</v>
      </c>
      <c r="Q385" s="2" t="str">
        <f t="shared" si="5"/>
        <v>Low</v>
      </c>
    </row>
    <row r="386" spans="1:17" x14ac:dyDescent="0.35">
      <c r="A386" s="2" t="s">
        <v>1203</v>
      </c>
      <c r="B386" s="2" t="s">
        <v>1204</v>
      </c>
      <c r="C386" s="2" t="s">
        <v>10</v>
      </c>
      <c r="D386" s="2" t="s">
        <v>70</v>
      </c>
      <c r="E386" s="2" t="s">
        <v>31</v>
      </c>
      <c r="F386" s="2">
        <v>38</v>
      </c>
      <c r="G386" s="2" t="s">
        <v>78</v>
      </c>
      <c r="H386" s="3" t="s">
        <v>1205</v>
      </c>
      <c r="I386" s="2"/>
      <c r="J386" s="2" t="s">
        <v>8</v>
      </c>
      <c r="K386" s="2">
        <v>105358</v>
      </c>
      <c r="L386" s="2">
        <v>3</v>
      </c>
      <c r="M386" s="2">
        <v>2</v>
      </c>
      <c r="N386" s="2" t="s">
        <v>8</v>
      </c>
      <c r="O386" s="2">
        <v>31</v>
      </c>
      <c r="P386" s="2">
        <f ca="1">ROUND((IF(I386="",TODAY(),I386)-H386)/365,1)</f>
        <v>9.5</v>
      </c>
      <c r="Q386" s="2" t="str">
        <f t="shared" ref="Q386:Q449" si="6">IF(J386="No",IF(AND(M386&lt;=2,N386="Yes"),"High",IF(OR(M386&lt;=2,N386="Yes"),"Medium","Low")),"N/A")</f>
        <v>Medium</v>
      </c>
    </row>
    <row r="387" spans="1:17" x14ac:dyDescent="0.35">
      <c r="A387" s="2" t="s">
        <v>1206</v>
      </c>
      <c r="B387" s="2" t="s">
        <v>1207</v>
      </c>
      <c r="C387" s="2" t="s">
        <v>10</v>
      </c>
      <c r="D387" s="2" t="s">
        <v>258</v>
      </c>
      <c r="E387" s="2" t="s">
        <v>31</v>
      </c>
      <c r="F387" s="2">
        <v>45</v>
      </c>
      <c r="G387" s="2" t="s">
        <v>56</v>
      </c>
      <c r="H387" s="3" t="s">
        <v>1208</v>
      </c>
      <c r="I387" s="2"/>
      <c r="J387" s="2" t="s">
        <v>8</v>
      </c>
      <c r="K387" s="2">
        <v>42188</v>
      </c>
      <c r="L387" s="2">
        <v>2</v>
      </c>
      <c r="M387" s="2">
        <v>4</v>
      </c>
      <c r="N387" s="2" t="s">
        <v>8</v>
      </c>
      <c r="O387" s="2">
        <v>37</v>
      </c>
      <c r="P387" s="2">
        <f ca="1">ROUND((IF(I387="",TODAY(),I387)-H387)/365,1)</f>
        <v>2</v>
      </c>
      <c r="Q387" s="2" t="str">
        <f t="shared" si="6"/>
        <v>Low</v>
      </c>
    </row>
    <row r="388" spans="1:17" x14ac:dyDescent="0.35">
      <c r="A388" s="2" t="s">
        <v>1209</v>
      </c>
      <c r="B388" s="2" t="s">
        <v>1210</v>
      </c>
      <c r="C388" s="2" t="s">
        <v>5</v>
      </c>
      <c r="D388" s="2" t="s">
        <v>102</v>
      </c>
      <c r="E388" s="2" t="s">
        <v>46</v>
      </c>
      <c r="F388" s="2">
        <v>49</v>
      </c>
      <c r="G388" s="2" t="s">
        <v>32</v>
      </c>
      <c r="H388" s="3" t="s">
        <v>1211</v>
      </c>
      <c r="I388" s="3" t="s">
        <v>1212</v>
      </c>
      <c r="J388" s="2" t="s">
        <v>6</v>
      </c>
      <c r="K388" s="2">
        <v>130600</v>
      </c>
      <c r="L388" s="2">
        <v>2</v>
      </c>
      <c r="M388" s="2">
        <v>2</v>
      </c>
      <c r="N388" s="2" t="s">
        <v>8</v>
      </c>
      <c r="O388" s="2">
        <v>31</v>
      </c>
      <c r="P388" s="2">
        <f ca="1">ROUND((IF(I388="",TODAY(),I388)-H388)/365,1)</f>
        <v>1.6</v>
      </c>
      <c r="Q388" s="2" t="str">
        <f t="shared" si="6"/>
        <v>N/A</v>
      </c>
    </row>
    <row r="389" spans="1:17" x14ac:dyDescent="0.35">
      <c r="A389" s="2" t="s">
        <v>1213</v>
      </c>
      <c r="B389" s="2" t="s">
        <v>545</v>
      </c>
      <c r="C389" s="2" t="s">
        <v>7</v>
      </c>
      <c r="D389" s="2" t="s">
        <v>37</v>
      </c>
      <c r="E389" s="2" t="s">
        <v>46</v>
      </c>
      <c r="F389" s="2">
        <v>38</v>
      </c>
      <c r="G389" s="2" t="s">
        <v>32</v>
      </c>
      <c r="H389" s="3" t="s">
        <v>1214</v>
      </c>
      <c r="I389" s="3" t="s">
        <v>91</v>
      </c>
      <c r="J389" s="2" t="s">
        <v>6</v>
      </c>
      <c r="K389" s="2">
        <v>115510</v>
      </c>
      <c r="L389" s="2">
        <v>4</v>
      </c>
      <c r="M389" s="2">
        <v>1</v>
      </c>
      <c r="N389" s="2" t="s">
        <v>8</v>
      </c>
      <c r="O389" s="2">
        <v>7</v>
      </c>
      <c r="P389" s="2">
        <f ca="1">ROUND((IF(I389="",TODAY(),I389)-H389)/365,1)</f>
        <v>4.7</v>
      </c>
      <c r="Q389" s="2" t="str">
        <f t="shared" si="6"/>
        <v>N/A</v>
      </c>
    </row>
    <row r="390" spans="1:17" x14ac:dyDescent="0.35">
      <c r="A390" s="2" t="s">
        <v>1215</v>
      </c>
      <c r="B390" s="2" t="s">
        <v>1216</v>
      </c>
      <c r="C390" s="2" t="s">
        <v>9</v>
      </c>
      <c r="D390" s="2" t="s">
        <v>41</v>
      </c>
      <c r="E390" s="2" t="s">
        <v>31</v>
      </c>
      <c r="F390" s="2">
        <v>38</v>
      </c>
      <c r="G390" s="2" t="s">
        <v>78</v>
      </c>
      <c r="H390" s="3" t="s">
        <v>1217</v>
      </c>
      <c r="I390" s="3" t="s">
        <v>1218</v>
      </c>
      <c r="J390" s="2" t="s">
        <v>6</v>
      </c>
      <c r="K390" s="2">
        <v>27599</v>
      </c>
      <c r="L390" s="2">
        <v>3</v>
      </c>
      <c r="M390" s="2">
        <v>5</v>
      </c>
      <c r="N390" s="2" t="s">
        <v>8</v>
      </c>
      <c r="O390" s="2">
        <v>23</v>
      </c>
      <c r="P390" s="2">
        <f ca="1">ROUND((IF(I390="",TODAY(),I390)-H390)/365,1)</f>
        <v>7</v>
      </c>
      <c r="Q390" s="2" t="str">
        <f t="shared" si="6"/>
        <v>N/A</v>
      </c>
    </row>
    <row r="391" spans="1:17" x14ac:dyDescent="0.35">
      <c r="A391" s="2" t="s">
        <v>1219</v>
      </c>
      <c r="B391" s="2" t="s">
        <v>1220</v>
      </c>
      <c r="C391" s="2" t="s">
        <v>7</v>
      </c>
      <c r="D391" s="2" t="s">
        <v>37</v>
      </c>
      <c r="E391" s="2" t="s">
        <v>31</v>
      </c>
      <c r="F391" s="2">
        <v>42</v>
      </c>
      <c r="G391" s="2" t="s">
        <v>78</v>
      </c>
      <c r="H391" s="3" t="s">
        <v>1094</v>
      </c>
      <c r="I391" s="2"/>
      <c r="J391" s="2" t="s">
        <v>8</v>
      </c>
      <c r="K391" s="2">
        <v>105434</v>
      </c>
      <c r="L391" s="2">
        <v>1</v>
      </c>
      <c r="M391" s="2">
        <v>4</v>
      </c>
      <c r="N391" s="2" t="s">
        <v>8</v>
      </c>
      <c r="O391" s="2">
        <v>25</v>
      </c>
      <c r="P391" s="2">
        <f ca="1">ROUND((IF(I391="",TODAY(),I391)-H391)/365,1)</f>
        <v>4.0999999999999996</v>
      </c>
      <c r="Q391" s="2" t="str">
        <f t="shared" si="6"/>
        <v>Low</v>
      </c>
    </row>
    <row r="392" spans="1:17" x14ac:dyDescent="0.35">
      <c r="A392" s="2" t="s">
        <v>1221</v>
      </c>
      <c r="B392" s="2" t="s">
        <v>713</v>
      </c>
      <c r="C392" s="2" t="s">
        <v>7</v>
      </c>
      <c r="D392" s="2" t="s">
        <v>155</v>
      </c>
      <c r="E392" s="2" t="s">
        <v>46</v>
      </c>
      <c r="F392" s="2">
        <v>58</v>
      </c>
      <c r="G392" s="2" t="s">
        <v>32</v>
      </c>
      <c r="H392" s="3" t="s">
        <v>1222</v>
      </c>
      <c r="I392" s="3" t="s">
        <v>1223</v>
      </c>
      <c r="J392" s="2" t="s">
        <v>6</v>
      </c>
      <c r="K392" s="2">
        <v>70039</v>
      </c>
      <c r="L392" s="2">
        <v>1</v>
      </c>
      <c r="M392" s="2">
        <v>1</v>
      </c>
      <c r="N392" s="2" t="s">
        <v>8</v>
      </c>
      <c r="O392" s="2">
        <v>11</v>
      </c>
      <c r="P392" s="2">
        <f ca="1">ROUND((IF(I392="",TODAY(),I392)-H392)/365,1)</f>
        <v>3.4</v>
      </c>
      <c r="Q392" s="2" t="str">
        <f t="shared" si="6"/>
        <v>N/A</v>
      </c>
    </row>
    <row r="393" spans="1:17" x14ac:dyDescent="0.35">
      <c r="A393" s="2" t="s">
        <v>1224</v>
      </c>
      <c r="B393" s="2" t="s">
        <v>320</v>
      </c>
      <c r="C393" s="2" t="s">
        <v>12</v>
      </c>
      <c r="D393" s="2" t="s">
        <v>133</v>
      </c>
      <c r="E393" s="2" t="s">
        <v>46</v>
      </c>
      <c r="F393" s="2">
        <v>45</v>
      </c>
      <c r="G393" s="2" t="s">
        <v>32</v>
      </c>
      <c r="H393" s="3" t="s">
        <v>1225</v>
      </c>
      <c r="I393" s="3" t="s">
        <v>1226</v>
      </c>
      <c r="J393" s="2" t="s">
        <v>6</v>
      </c>
      <c r="K393" s="2">
        <v>49102</v>
      </c>
      <c r="L393" s="2">
        <v>4</v>
      </c>
      <c r="M393" s="2">
        <v>4</v>
      </c>
      <c r="N393" s="2" t="s">
        <v>8</v>
      </c>
      <c r="O393" s="2">
        <v>11</v>
      </c>
      <c r="P393" s="2">
        <f ca="1">ROUND((IF(I393="",TODAY(),I393)-H393)/365,1)</f>
        <v>1.5</v>
      </c>
      <c r="Q393" s="2" t="str">
        <f t="shared" si="6"/>
        <v>N/A</v>
      </c>
    </row>
    <row r="394" spans="1:17" x14ac:dyDescent="0.35">
      <c r="A394" s="2" t="s">
        <v>1227</v>
      </c>
      <c r="B394" s="2" t="s">
        <v>1228</v>
      </c>
      <c r="C394" s="2" t="s">
        <v>12</v>
      </c>
      <c r="D394" s="2" t="s">
        <v>133</v>
      </c>
      <c r="E394" s="2" t="s">
        <v>31</v>
      </c>
      <c r="F394" s="2">
        <v>47</v>
      </c>
      <c r="G394" s="2" t="s">
        <v>78</v>
      </c>
      <c r="H394" s="3" t="s">
        <v>1229</v>
      </c>
      <c r="I394" s="2"/>
      <c r="J394" s="2" t="s">
        <v>8</v>
      </c>
      <c r="K394" s="2">
        <v>28455</v>
      </c>
      <c r="L394" s="2">
        <v>5</v>
      </c>
      <c r="M394" s="2">
        <v>4</v>
      </c>
      <c r="N394" s="2" t="s">
        <v>6</v>
      </c>
      <c r="O394" s="2">
        <v>4</v>
      </c>
      <c r="P394" s="2">
        <f ca="1">ROUND((IF(I394="",TODAY(),I394)-H394)/365,1)</f>
        <v>10.5</v>
      </c>
      <c r="Q394" s="2" t="str">
        <f t="shared" si="6"/>
        <v>Medium</v>
      </c>
    </row>
    <row r="395" spans="1:17" x14ac:dyDescent="0.35">
      <c r="A395" s="2" t="s">
        <v>1230</v>
      </c>
      <c r="B395" s="2" t="s">
        <v>1231</v>
      </c>
      <c r="C395" s="2" t="s">
        <v>5</v>
      </c>
      <c r="D395" s="2" t="s">
        <v>94</v>
      </c>
      <c r="E395" s="2" t="s">
        <v>46</v>
      </c>
      <c r="F395" s="2">
        <v>27</v>
      </c>
      <c r="G395" s="2" t="s">
        <v>56</v>
      </c>
      <c r="H395" s="3" t="s">
        <v>348</v>
      </c>
      <c r="I395" s="2"/>
      <c r="J395" s="2" t="s">
        <v>8</v>
      </c>
      <c r="K395" s="2">
        <v>57426</v>
      </c>
      <c r="L395" s="2">
        <v>3</v>
      </c>
      <c r="M395" s="2">
        <v>4</v>
      </c>
      <c r="N395" s="2" t="s">
        <v>8</v>
      </c>
      <c r="O395" s="2">
        <v>15</v>
      </c>
      <c r="P395" s="2">
        <f ca="1">ROUND((IF(I395="",TODAY(),I395)-H395)/365,1)</f>
        <v>4.3</v>
      </c>
      <c r="Q395" s="2" t="str">
        <f t="shared" si="6"/>
        <v>Low</v>
      </c>
    </row>
    <row r="396" spans="1:17" x14ac:dyDescent="0.35">
      <c r="A396" s="2" t="s">
        <v>1232</v>
      </c>
      <c r="B396" s="2" t="s">
        <v>1233</v>
      </c>
      <c r="C396" s="2" t="s">
        <v>12</v>
      </c>
      <c r="D396" s="2" t="s">
        <v>30</v>
      </c>
      <c r="E396" s="2" t="s">
        <v>31</v>
      </c>
      <c r="F396" s="2">
        <v>23</v>
      </c>
      <c r="G396" s="2" t="s">
        <v>56</v>
      </c>
      <c r="H396" s="3" t="s">
        <v>1234</v>
      </c>
      <c r="I396" s="2"/>
      <c r="J396" s="2" t="s">
        <v>8</v>
      </c>
      <c r="K396" s="2">
        <v>139150</v>
      </c>
      <c r="L396" s="2">
        <v>4</v>
      </c>
      <c r="M396" s="2">
        <v>3</v>
      </c>
      <c r="N396" s="2" t="s">
        <v>8</v>
      </c>
      <c r="O396" s="2">
        <v>30</v>
      </c>
      <c r="P396" s="2">
        <f ca="1">ROUND((IF(I396="",TODAY(),I396)-H396)/365,1)</f>
        <v>11.2</v>
      </c>
      <c r="Q396" s="2" t="str">
        <f t="shared" si="6"/>
        <v>Low</v>
      </c>
    </row>
    <row r="397" spans="1:17" x14ac:dyDescent="0.35">
      <c r="A397" s="2" t="s">
        <v>1235</v>
      </c>
      <c r="B397" s="2" t="s">
        <v>739</v>
      </c>
      <c r="C397" s="2" t="s">
        <v>11</v>
      </c>
      <c r="D397" s="2" t="s">
        <v>66</v>
      </c>
      <c r="E397" s="2" t="s">
        <v>31</v>
      </c>
      <c r="F397" s="2">
        <v>51</v>
      </c>
      <c r="G397" s="2" t="s">
        <v>56</v>
      </c>
      <c r="H397" s="3" t="s">
        <v>368</v>
      </c>
      <c r="I397" s="2"/>
      <c r="J397" s="2" t="s">
        <v>8</v>
      </c>
      <c r="K397" s="2">
        <v>108858</v>
      </c>
      <c r="L397" s="2">
        <v>4</v>
      </c>
      <c r="M397" s="2">
        <v>5</v>
      </c>
      <c r="N397" s="2" t="s">
        <v>8</v>
      </c>
      <c r="O397" s="2">
        <v>34</v>
      </c>
      <c r="P397" s="2">
        <f ca="1">ROUND((IF(I397="",TODAY(),I397)-H397)/365,1)</f>
        <v>4.5</v>
      </c>
      <c r="Q397" s="2" t="str">
        <f t="shared" si="6"/>
        <v>Low</v>
      </c>
    </row>
    <row r="398" spans="1:17" x14ac:dyDescent="0.35">
      <c r="A398" s="2" t="s">
        <v>1236</v>
      </c>
      <c r="B398" s="2" t="s">
        <v>106</v>
      </c>
      <c r="C398" s="2" t="s">
        <v>9</v>
      </c>
      <c r="D398" s="2" t="s">
        <v>41</v>
      </c>
      <c r="E398" s="2" t="s">
        <v>31</v>
      </c>
      <c r="F398" s="2">
        <v>41</v>
      </c>
      <c r="G398" s="2" t="s">
        <v>56</v>
      </c>
      <c r="H398" s="3" t="s">
        <v>1237</v>
      </c>
      <c r="I398" s="2"/>
      <c r="J398" s="2" t="s">
        <v>8</v>
      </c>
      <c r="K398" s="2">
        <v>25012</v>
      </c>
      <c r="L398" s="2">
        <v>3</v>
      </c>
      <c r="M398" s="2">
        <v>2</v>
      </c>
      <c r="N398" s="2" t="s">
        <v>8</v>
      </c>
      <c r="O398" s="2">
        <v>1</v>
      </c>
      <c r="P398" s="2">
        <f ca="1">ROUND((IF(I398="",TODAY(),I398)-H398)/365,1)</f>
        <v>7.5</v>
      </c>
      <c r="Q398" s="2" t="str">
        <f t="shared" si="6"/>
        <v>Medium</v>
      </c>
    </row>
    <row r="399" spans="1:17" x14ac:dyDescent="0.35">
      <c r="A399" s="2" t="s">
        <v>1238</v>
      </c>
      <c r="B399" s="2" t="s">
        <v>874</v>
      </c>
      <c r="C399" s="2" t="s">
        <v>7</v>
      </c>
      <c r="D399" s="2" t="s">
        <v>125</v>
      </c>
      <c r="E399" s="2" t="s">
        <v>46</v>
      </c>
      <c r="F399" s="2">
        <v>22</v>
      </c>
      <c r="G399" s="2" t="s">
        <v>78</v>
      </c>
      <c r="H399" s="3" t="s">
        <v>1239</v>
      </c>
      <c r="I399" s="2"/>
      <c r="J399" s="2" t="s">
        <v>8</v>
      </c>
      <c r="K399" s="2">
        <v>125384</v>
      </c>
      <c r="L399" s="2">
        <v>3</v>
      </c>
      <c r="M399" s="2">
        <v>4</v>
      </c>
      <c r="N399" s="2" t="s">
        <v>8</v>
      </c>
      <c r="O399" s="2">
        <v>1</v>
      </c>
      <c r="P399" s="2">
        <f ca="1">ROUND((IF(I399="",TODAY(),I399)-H399)/365,1)</f>
        <v>3.9</v>
      </c>
      <c r="Q399" s="2" t="str">
        <f t="shared" si="6"/>
        <v>Low</v>
      </c>
    </row>
    <row r="400" spans="1:17" x14ac:dyDescent="0.35">
      <c r="A400" s="2" t="s">
        <v>1240</v>
      </c>
      <c r="B400" s="2" t="s">
        <v>1241</v>
      </c>
      <c r="C400" s="2" t="s">
        <v>11</v>
      </c>
      <c r="D400" s="2" t="s">
        <v>45</v>
      </c>
      <c r="E400" s="2" t="s">
        <v>31</v>
      </c>
      <c r="F400" s="2">
        <v>34</v>
      </c>
      <c r="G400" s="2" t="s">
        <v>56</v>
      </c>
      <c r="H400" s="3" t="s">
        <v>1242</v>
      </c>
      <c r="I400" s="2"/>
      <c r="J400" s="2" t="s">
        <v>8</v>
      </c>
      <c r="K400" s="2">
        <v>46400</v>
      </c>
      <c r="L400" s="2">
        <v>4</v>
      </c>
      <c r="M400" s="2">
        <v>4</v>
      </c>
      <c r="N400" s="2" t="s">
        <v>8</v>
      </c>
      <c r="O400" s="2">
        <v>16</v>
      </c>
      <c r="P400" s="2">
        <f ca="1">ROUND((IF(I400="",TODAY(),I400)-H400)/365,1)</f>
        <v>7</v>
      </c>
      <c r="Q400" s="2" t="str">
        <f t="shared" si="6"/>
        <v>Low</v>
      </c>
    </row>
    <row r="401" spans="1:17" x14ac:dyDescent="0.35">
      <c r="A401" s="2" t="s">
        <v>1243</v>
      </c>
      <c r="B401" s="2" t="s">
        <v>1244</v>
      </c>
      <c r="C401" s="2" t="s">
        <v>10</v>
      </c>
      <c r="D401" s="2" t="s">
        <v>258</v>
      </c>
      <c r="E401" s="2" t="s">
        <v>31</v>
      </c>
      <c r="F401" s="2">
        <v>49</v>
      </c>
      <c r="G401" s="2" t="s">
        <v>56</v>
      </c>
      <c r="H401" s="3" t="s">
        <v>1245</v>
      </c>
      <c r="I401" s="2"/>
      <c r="J401" s="2" t="s">
        <v>8</v>
      </c>
      <c r="K401" s="2">
        <v>109994</v>
      </c>
      <c r="L401" s="2">
        <v>3</v>
      </c>
      <c r="M401" s="2">
        <v>5</v>
      </c>
      <c r="N401" s="2" t="s">
        <v>6</v>
      </c>
      <c r="O401" s="2">
        <v>19</v>
      </c>
      <c r="P401" s="2">
        <f ca="1">ROUND((IF(I401="",TODAY(),I401)-H401)/365,1)</f>
        <v>4.5999999999999996</v>
      </c>
      <c r="Q401" s="2" t="str">
        <f t="shared" si="6"/>
        <v>Medium</v>
      </c>
    </row>
    <row r="402" spans="1:17" x14ac:dyDescent="0.35">
      <c r="A402" s="2" t="s">
        <v>1246</v>
      </c>
      <c r="B402" s="2" t="s">
        <v>1247</v>
      </c>
      <c r="C402" s="2" t="s">
        <v>9</v>
      </c>
      <c r="D402" s="2" t="s">
        <v>41</v>
      </c>
      <c r="E402" s="2" t="s">
        <v>31</v>
      </c>
      <c r="F402" s="2">
        <v>30</v>
      </c>
      <c r="G402" s="2" t="s">
        <v>56</v>
      </c>
      <c r="H402" s="3" t="s">
        <v>1248</v>
      </c>
      <c r="I402" s="2"/>
      <c r="J402" s="2" t="s">
        <v>8</v>
      </c>
      <c r="K402" s="2">
        <v>60669</v>
      </c>
      <c r="L402" s="2">
        <v>5</v>
      </c>
      <c r="M402" s="2">
        <v>4</v>
      </c>
      <c r="N402" s="2" t="s">
        <v>6</v>
      </c>
      <c r="O402" s="2">
        <v>29</v>
      </c>
      <c r="P402" s="2">
        <f ca="1">ROUND((IF(I402="",TODAY(),I402)-H402)/365,1)</f>
        <v>8.4</v>
      </c>
      <c r="Q402" s="2" t="str">
        <f t="shared" si="6"/>
        <v>Medium</v>
      </c>
    </row>
    <row r="403" spans="1:17" x14ac:dyDescent="0.35">
      <c r="A403" s="2" t="s">
        <v>1249</v>
      </c>
      <c r="B403" s="2" t="s">
        <v>1250</v>
      </c>
      <c r="C403" s="2" t="s">
        <v>7</v>
      </c>
      <c r="D403" s="2" t="s">
        <v>125</v>
      </c>
      <c r="E403" s="2" t="s">
        <v>31</v>
      </c>
      <c r="F403" s="2">
        <v>56</v>
      </c>
      <c r="G403" s="2" t="s">
        <v>56</v>
      </c>
      <c r="H403" s="3" t="s">
        <v>1251</v>
      </c>
      <c r="I403" s="3" t="s">
        <v>1252</v>
      </c>
      <c r="J403" s="2" t="s">
        <v>6</v>
      </c>
      <c r="K403" s="2">
        <v>41389</v>
      </c>
      <c r="L403" s="2">
        <v>3</v>
      </c>
      <c r="M403" s="2">
        <v>1</v>
      </c>
      <c r="N403" s="2" t="s">
        <v>6</v>
      </c>
      <c r="O403" s="2">
        <v>18</v>
      </c>
      <c r="P403" s="2">
        <f ca="1">ROUND((IF(I403="",TODAY(),I403)-H403)/365,1)</f>
        <v>0.3</v>
      </c>
      <c r="Q403" s="2" t="str">
        <f t="shared" si="6"/>
        <v>N/A</v>
      </c>
    </row>
    <row r="404" spans="1:17" x14ac:dyDescent="0.35">
      <c r="A404" s="2" t="s">
        <v>1253</v>
      </c>
      <c r="B404" s="2" t="s">
        <v>1254</v>
      </c>
      <c r="C404" s="2" t="s">
        <v>7</v>
      </c>
      <c r="D404" s="2" t="s">
        <v>155</v>
      </c>
      <c r="E404" s="2" t="s">
        <v>31</v>
      </c>
      <c r="F404" s="2">
        <v>35</v>
      </c>
      <c r="G404" s="2" t="s">
        <v>32</v>
      </c>
      <c r="H404" s="3" t="s">
        <v>1255</v>
      </c>
      <c r="I404" s="2"/>
      <c r="J404" s="2" t="s">
        <v>8</v>
      </c>
      <c r="K404" s="2">
        <v>116348</v>
      </c>
      <c r="L404" s="2">
        <v>3</v>
      </c>
      <c r="M404" s="2">
        <v>4</v>
      </c>
      <c r="N404" s="2" t="s">
        <v>8</v>
      </c>
      <c r="O404" s="2">
        <v>30</v>
      </c>
      <c r="P404" s="2">
        <f ca="1">ROUND((IF(I404="",TODAY(),I404)-H404)/365,1)</f>
        <v>7.8</v>
      </c>
      <c r="Q404" s="2" t="str">
        <f t="shared" si="6"/>
        <v>Low</v>
      </c>
    </row>
    <row r="405" spans="1:17" x14ac:dyDescent="0.35">
      <c r="A405" s="2" t="s">
        <v>1256</v>
      </c>
      <c r="B405" s="2" t="s">
        <v>1257</v>
      </c>
      <c r="C405" s="2" t="s">
        <v>7</v>
      </c>
      <c r="D405" s="2" t="s">
        <v>155</v>
      </c>
      <c r="E405" s="2" t="s">
        <v>46</v>
      </c>
      <c r="F405" s="2">
        <v>56</v>
      </c>
      <c r="G405" s="2" t="s">
        <v>56</v>
      </c>
      <c r="H405" s="3" t="s">
        <v>1258</v>
      </c>
      <c r="I405" s="3" t="s">
        <v>1259</v>
      </c>
      <c r="J405" s="2" t="s">
        <v>6</v>
      </c>
      <c r="K405" s="2">
        <v>40985</v>
      </c>
      <c r="L405" s="2">
        <v>4</v>
      </c>
      <c r="M405" s="2">
        <v>3</v>
      </c>
      <c r="N405" s="2" t="s">
        <v>6</v>
      </c>
      <c r="O405" s="2">
        <v>1</v>
      </c>
      <c r="P405" s="2">
        <f ca="1">ROUND((IF(I405="",TODAY(),I405)-H405)/365,1)</f>
        <v>5.0999999999999996</v>
      </c>
      <c r="Q405" s="2" t="str">
        <f t="shared" si="6"/>
        <v>N/A</v>
      </c>
    </row>
    <row r="406" spans="1:17" x14ac:dyDescent="0.35">
      <c r="A406" s="2" t="s">
        <v>1260</v>
      </c>
      <c r="B406" s="2" t="s">
        <v>1261</v>
      </c>
      <c r="C406" s="2" t="s">
        <v>7</v>
      </c>
      <c r="D406" s="2" t="s">
        <v>37</v>
      </c>
      <c r="E406" s="2" t="s">
        <v>31</v>
      </c>
      <c r="F406" s="2">
        <v>28</v>
      </c>
      <c r="G406" s="2" t="s">
        <v>78</v>
      </c>
      <c r="H406" s="3" t="s">
        <v>1262</v>
      </c>
      <c r="I406" s="2"/>
      <c r="J406" s="2" t="s">
        <v>8</v>
      </c>
      <c r="K406" s="2">
        <v>114318</v>
      </c>
      <c r="L406" s="2">
        <v>4</v>
      </c>
      <c r="M406" s="2">
        <v>2</v>
      </c>
      <c r="N406" s="2" t="s">
        <v>8</v>
      </c>
      <c r="O406" s="2">
        <v>25</v>
      </c>
      <c r="P406" s="2">
        <f ca="1">ROUND((IF(I406="",TODAY(),I406)-H406)/365,1)</f>
        <v>5.8</v>
      </c>
      <c r="Q406" s="2" t="str">
        <f t="shared" si="6"/>
        <v>Medium</v>
      </c>
    </row>
    <row r="407" spans="1:17" x14ac:dyDescent="0.35">
      <c r="A407" s="2" t="s">
        <v>1263</v>
      </c>
      <c r="B407" s="2" t="s">
        <v>614</v>
      </c>
      <c r="C407" s="2" t="s">
        <v>7</v>
      </c>
      <c r="D407" s="2" t="s">
        <v>37</v>
      </c>
      <c r="E407" s="2" t="s">
        <v>31</v>
      </c>
      <c r="F407" s="2">
        <v>29</v>
      </c>
      <c r="G407" s="2" t="s">
        <v>32</v>
      </c>
      <c r="H407" s="3" t="s">
        <v>1264</v>
      </c>
      <c r="I407" s="2"/>
      <c r="J407" s="2" t="s">
        <v>8</v>
      </c>
      <c r="K407" s="2">
        <v>141328</v>
      </c>
      <c r="L407" s="2">
        <v>2</v>
      </c>
      <c r="M407" s="2">
        <v>3</v>
      </c>
      <c r="N407" s="2" t="s">
        <v>8</v>
      </c>
      <c r="O407" s="2">
        <v>24</v>
      </c>
      <c r="P407" s="2">
        <f ca="1">ROUND((IF(I407="",TODAY(),I407)-H407)/365,1)</f>
        <v>8.8000000000000007</v>
      </c>
      <c r="Q407" s="2" t="str">
        <f t="shared" si="6"/>
        <v>Low</v>
      </c>
    </row>
    <row r="408" spans="1:17" x14ac:dyDescent="0.35">
      <c r="A408" s="2" t="s">
        <v>1265</v>
      </c>
      <c r="B408" s="2" t="s">
        <v>1266</v>
      </c>
      <c r="C408" s="2" t="s">
        <v>7</v>
      </c>
      <c r="D408" s="2" t="s">
        <v>155</v>
      </c>
      <c r="E408" s="2" t="s">
        <v>31</v>
      </c>
      <c r="F408" s="2">
        <v>22</v>
      </c>
      <c r="G408" s="2" t="s">
        <v>32</v>
      </c>
      <c r="H408" s="3" t="s">
        <v>1267</v>
      </c>
      <c r="I408" s="3" t="s">
        <v>1268</v>
      </c>
      <c r="J408" s="2" t="s">
        <v>6</v>
      </c>
      <c r="K408" s="2">
        <v>128434</v>
      </c>
      <c r="L408" s="2">
        <v>1</v>
      </c>
      <c r="M408" s="2">
        <v>5</v>
      </c>
      <c r="N408" s="2" t="s">
        <v>8</v>
      </c>
      <c r="O408" s="2">
        <v>26</v>
      </c>
      <c r="P408" s="2">
        <f ca="1">ROUND((IF(I408="",TODAY(),I408)-H408)/365,1)</f>
        <v>0.6</v>
      </c>
      <c r="Q408" s="2" t="str">
        <f t="shared" si="6"/>
        <v>N/A</v>
      </c>
    </row>
    <row r="409" spans="1:17" x14ac:dyDescent="0.35">
      <c r="A409" s="2" t="s">
        <v>1269</v>
      </c>
      <c r="B409" s="2" t="s">
        <v>1231</v>
      </c>
      <c r="C409" s="2" t="s">
        <v>11</v>
      </c>
      <c r="D409" s="2" t="s">
        <v>98</v>
      </c>
      <c r="E409" s="2" t="s">
        <v>46</v>
      </c>
      <c r="F409" s="2">
        <v>45</v>
      </c>
      <c r="G409" s="2" t="s">
        <v>56</v>
      </c>
      <c r="H409" s="3" t="s">
        <v>1270</v>
      </c>
      <c r="I409" s="3" t="s">
        <v>1271</v>
      </c>
      <c r="J409" s="2" t="s">
        <v>6</v>
      </c>
      <c r="K409" s="2">
        <v>114908</v>
      </c>
      <c r="L409" s="2">
        <v>4</v>
      </c>
      <c r="M409" s="2">
        <v>2</v>
      </c>
      <c r="N409" s="2" t="s">
        <v>6</v>
      </c>
      <c r="O409" s="2">
        <v>6</v>
      </c>
      <c r="P409" s="2">
        <f ca="1">ROUND((IF(I409="",TODAY(),I409)-H409)/365,1)</f>
        <v>2.9</v>
      </c>
      <c r="Q409" s="2" t="str">
        <f t="shared" si="6"/>
        <v>N/A</v>
      </c>
    </row>
    <row r="410" spans="1:17" x14ac:dyDescent="0.35">
      <c r="A410" s="2" t="s">
        <v>1272</v>
      </c>
      <c r="B410" s="2" t="s">
        <v>1273</v>
      </c>
      <c r="C410" s="2" t="s">
        <v>12</v>
      </c>
      <c r="D410" s="2" t="s">
        <v>30</v>
      </c>
      <c r="E410" s="2" t="s">
        <v>31</v>
      </c>
      <c r="F410" s="2">
        <v>56</v>
      </c>
      <c r="G410" s="2" t="s">
        <v>56</v>
      </c>
      <c r="H410" s="3" t="s">
        <v>1274</v>
      </c>
      <c r="I410" s="2"/>
      <c r="J410" s="2" t="s">
        <v>8</v>
      </c>
      <c r="K410" s="2">
        <v>98184</v>
      </c>
      <c r="L410" s="2">
        <v>2</v>
      </c>
      <c r="M410" s="2">
        <v>4</v>
      </c>
      <c r="N410" s="2" t="s">
        <v>6</v>
      </c>
      <c r="O410" s="2">
        <v>21</v>
      </c>
      <c r="P410" s="2">
        <f ca="1">ROUND((IF(I410="",TODAY(),I410)-H410)/365,1)</f>
        <v>2.7</v>
      </c>
      <c r="Q410" s="2" t="str">
        <f t="shared" si="6"/>
        <v>Medium</v>
      </c>
    </row>
    <row r="411" spans="1:17" x14ac:dyDescent="0.35">
      <c r="A411" s="2" t="s">
        <v>1275</v>
      </c>
      <c r="B411" s="2" t="s">
        <v>1276</v>
      </c>
      <c r="C411" s="2" t="s">
        <v>10</v>
      </c>
      <c r="D411" s="2" t="s">
        <v>70</v>
      </c>
      <c r="E411" s="2" t="s">
        <v>31</v>
      </c>
      <c r="F411" s="2">
        <v>44</v>
      </c>
      <c r="G411" s="2" t="s">
        <v>78</v>
      </c>
      <c r="H411" s="3" t="s">
        <v>1277</v>
      </c>
      <c r="I411" s="2"/>
      <c r="J411" s="2" t="s">
        <v>8</v>
      </c>
      <c r="K411" s="2">
        <v>98272</v>
      </c>
      <c r="L411" s="2">
        <v>4</v>
      </c>
      <c r="M411" s="2">
        <v>1</v>
      </c>
      <c r="N411" s="2" t="s">
        <v>6</v>
      </c>
      <c r="O411" s="2">
        <v>29</v>
      </c>
      <c r="P411" s="2">
        <f ca="1">ROUND((IF(I411="",TODAY(),I411)-H411)/365,1)</f>
        <v>3.5</v>
      </c>
      <c r="Q411" s="2" t="str">
        <f t="shared" si="6"/>
        <v>High</v>
      </c>
    </row>
    <row r="412" spans="1:17" x14ac:dyDescent="0.35">
      <c r="A412" s="2" t="s">
        <v>1278</v>
      </c>
      <c r="B412" s="2" t="s">
        <v>1241</v>
      </c>
      <c r="C412" s="2" t="s">
        <v>10</v>
      </c>
      <c r="D412" s="2" t="s">
        <v>111</v>
      </c>
      <c r="E412" s="2" t="s">
        <v>31</v>
      </c>
      <c r="F412" s="2">
        <v>42</v>
      </c>
      <c r="G412" s="2" t="s">
        <v>56</v>
      </c>
      <c r="H412" s="3" t="s">
        <v>1279</v>
      </c>
      <c r="I412" s="3" t="s">
        <v>1280</v>
      </c>
      <c r="J412" s="2" t="s">
        <v>6</v>
      </c>
      <c r="K412" s="2">
        <v>34027</v>
      </c>
      <c r="L412" s="2">
        <v>5</v>
      </c>
      <c r="M412" s="2">
        <v>5</v>
      </c>
      <c r="N412" s="2" t="s">
        <v>8</v>
      </c>
      <c r="O412" s="2">
        <v>11</v>
      </c>
      <c r="P412" s="2">
        <f ca="1">ROUND((IF(I412="",TODAY(),I412)-H412)/365,1)</f>
        <v>1.8</v>
      </c>
      <c r="Q412" s="2" t="str">
        <f t="shared" si="6"/>
        <v>N/A</v>
      </c>
    </row>
    <row r="413" spans="1:17" x14ac:dyDescent="0.35">
      <c r="A413" s="2" t="s">
        <v>1281</v>
      </c>
      <c r="B413" s="2" t="s">
        <v>1282</v>
      </c>
      <c r="C413" s="2" t="s">
        <v>9</v>
      </c>
      <c r="D413" s="2" t="s">
        <v>77</v>
      </c>
      <c r="E413" s="2" t="s">
        <v>46</v>
      </c>
      <c r="F413" s="2">
        <v>54</v>
      </c>
      <c r="G413" s="2" t="s">
        <v>56</v>
      </c>
      <c r="H413" s="3" t="s">
        <v>1283</v>
      </c>
      <c r="I413" s="3" t="s">
        <v>1284</v>
      </c>
      <c r="J413" s="2" t="s">
        <v>6</v>
      </c>
      <c r="K413" s="2">
        <v>126714</v>
      </c>
      <c r="L413" s="2">
        <v>5</v>
      </c>
      <c r="M413" s="2">
        <v>1</v>
      </c>
      <c r="N413" s="2" t="s">
        <v>8</v>
      </c>
      <c r="O413" s="2">
        <v>24</v>
      </c>
      <c r="P413" s="2">
        <f ca="1">ROUND((IF(I413="",TODAY(),I413)-H413)/365,1)</f>
        <v>0.9</v>
      </c>
      <c r="Q413" s="2" t="str">
        <f t="shared" si="6"/>
        <v>N/A</v>
      </c>
    </row>
    <row r="414" spans="1:17" x14ac:dyDescent="0.35">
      <c r="A414" s="2" t="s">
        <v>1285</v>
      </c>
      <c r="B414" s="2" t="s">
        <v>398</v>
      </c>
      <c r="C414" s="2" t="s">
        <v>12</v>
      </c>
      <c r="D414" s="2" t="s">
        <v>55</v>
      </c>
      <c r="E414" s="2" t="s">
        <v>46</v>
      </c>
      <c r="F414" s="2">
        <v>53</v>
      </c>
      <c r="G414" s="2" t="s">
        <v>56</v>
      </c>
      <c r="H414" s="3" t="s">
        <v>1286</v>
      </c>
      <c r="I414" s="2"/>
      <c r="J414" s="2" t="s">
        <v>8</v>
      </c>
      <c r="K414" s="2">
        <v>78713</v>
      </c>
      <c r="L414" s="2">
        <v>3</v>
      </c>
      <c r="M414" s="2">
        <v>5</v>
      </c>
      <c r="N414" s="2" t="s">
        <v>8</v>
      </c>
      <c r="O414" s="2">
        <v>21</v>
      </c>
      <c r="P414" s="2">
        <f ca="1">ROUND((IF(I414="",TODAY(),I414)-H414)/365,1)</f>
        <v>3</v>
      </c>
      <c r="Q414" s="2" t="str">
        <f t="shared" si="6"/>
        <v>Low</v>
      </c>
    </row>
    <row r="415" spans="1:17" x14ac:dyDescent="0.35">
      <c r="A415" s="2" t="s">
        <v>1287</v>
      </c>
      <c r="B415" s="2" t="s">
        <v>395</v>
      </c>
      <c r="C415" s="2" t="s">
        <v>5</v>
      </c>
      <c r="D415" s="2" t="s">
        <v>102</v>
      </c>
      <c r="E415" s="2" t="s">
        <v>31</v>
      </c>
      <c r="F415" s="2">
        <v>33</v>
      </c>
      <c r="G415" s="2" t="s">
        <v>32</v>
      </c>
      <c r="H415" s="3" t="s">
        <v>1288</v>
      </c>
      <c r="I415" s="2"/>
      <c r="J415" s="2" t="s">
        <v>8</v>
      </c>
      <c r="K415" s="2">
        <v>37943</v>
      </c>
      <c r="L415" s="2">
        <v>4</v>
      </c>
      <c r="M415" s="2">
        <v>1</v>
      </c>
      <c r="N415" s="2" t="s">
        <v>6</v>
      </c>
      <c r="O415" s="2">
        <v>13</v>
      </c>
      <c r="P415" s="2">
        <f ca="1">ROUND((IF(I415="",TODAY(),I415)-H415)/365,1)</f>
        <v>1.8</v>
      </c>
      <c r="Q415" s="2" t="str">
        <f t="shared" si="6"/>
        <v>High</v>
      </c>
    </row>
    <row r="416" spans="1:17" x14ac:dyDescent="0.35">
      <c r="A416" s="2" t="s">
        <v>1289</v>
      </c>
      <c r="B416" s="2" t="s">
        <v>86</v>
      </c>
      <c r="C416" s="2" t="s">
        <v>10</v>
      </c>
      <c r="D416" s="2" t="s">
        <v>70</v>
      </c>
      <c r="E416" s="2" t="s">
        <v>46</v>
      </c>
      <c r="F416" s="2">
        <v>38</v>
      </c>
      <c r="G416" s="2" t="s">
        <v>32</v>
      </c>
      <c r="H416" s="3" t="s">
        <v>1290</v>
      </c>
      <c r="I416" s="2"/>
      <c r="J416" s="2" t="s">
        <v>8</v>
      </c>
      <c r="K416" s="2">
        <v>146924</v>
      </c>
      <c r="L416" s="2">
        <v>1</v>
      </c>
      <c r="M416" s="2">
        <v>5</v>
      </c>
      <c r="N416" s="2" t="s">
        <v>8</v>
      </c>
      <c r="O416" s="2">
        <v>1</v>
      </c>
      <c r="P416" s="2">
        <f ca="1">ROUND((IF(I416="",TODAY(),I416)-H416)/365,1)</f>
        <v>11.1</v>
      </c>
      <c r="Q416" s="2" t="str">
        <f t="shared" si="6"/>
        <v>Low</v>
      </c>
    </row>
    <row r="417" spans="1:17" x14ac:dyDescent="0.35">
      <c r="A417" s="2" t="s">
        <v>1291</v>
      </c>
      <c r="B417" s="2" t="s">
        <v>217</v>
      </c>
      <c r="C417" s="2" t="s">
        <v>5</v>
      </c>
      <c r="D417" s="2" t="s">
        <v>207</v>
      </c>
      <c r="E417" s="2" t="s">
        <v>31</v>
      </c>
      <c r="F417" s="2">
        <v>48</v>
      </c>
      <c r="G417" s="2" t="s">
        <v>32</v>
      </c>
      <c r="H417" s="3" t="s">
        <v>1292</v>
      </c>
      <c r="I417" s="2"/>
      <c r="J417" s="2" t="s">
        <v>8</v>
      </c>
      <c r="K417" s="2">
        <v>94339</v>
      </c>
      <c r="L417" s="2">
        <v>5</v>
      </c>
      <c r="M417" s="2">
        <v>1</v>
      </c>
      <c r="N417" s="2" t="s">
        <v>8</v>
      </c>
      <c r="O417" s="2">
        <v>18</v>
      </c>
      <c r="P417" s="2">
        <f ca="1">ROUND((IF(I417="",TODAY(),I417)-H417)/365,1)</f>
        <v>2.4</v>
      </c>
      <c r="Q417" s="2" t="str">
        <f t="shared" si="6"/>
        <v>Medium</v>
      </c>
    </row>
    <row r="418" spans="1:17" x14ac:dyDescent="0.35">
      <c r="A418" s="2" t="s">
        <v>1293</v>
      </c>
      <c r="B418" s="2" t="s">
        <v>1294</v>
      </c>
      <c r="C418" s="2" t="s">
        <v>9</v>
      </c>
      <c r="D418" s="2" t="s">
        <v>51</v>
      </c>
      <c r="E418" s="2" t="s">
        <v>31</v>
      </c>
      <c r="F418" s="2">
        <v>28</v>
      </c>
      <c r="G418" s="2" t="s">
        <v>56</v>
      </c>
      <c r="H418" s="3" t="s">
        <v>1295</v>
      </c>
      <c r="I418" s="3" t="s">
        <v>1296</v>
      </c>
      <c r="J418" s="2" t="s">
        <v>6</v>
      </c>
      <c r="K418" s="2">
        <v>93969</v>
      </c>
      <c r="L418" s="2">
        <v>2</v>
      </c>
      <c r="M418" s="2">
        <v>4</v>
      </c>
      <c r="N418" s="2" t="s">
        <v>6</v>
      </c>
      <c r="O418" s="2">
        <v>13</v>
      </c>
      <c r="P418" s="2">
        <f ca="1">ROUND((IF(I418="",TODAY(),I418)-H418)/365,1)</f>
        <v>1.2</v>
      </c>
      <c r="Q418" s="2" t="str">
        <f t="shared" si="6"/>
        <v>N/A</v>
      </c>
    </row>
    <row r="419" spans="1:17" x14ac:dyDescent="0.35">
      <c r="A419" s="2" t="s">
        <v>1297</v>
      </c>
      <c r="B419" s="2" t="s">
        <v>1298</v>
      </c>
      <c r="C419" s="2" t="s">
        <v>11</v>
      </c>
      <c r="D419" s="2" t="s">
        <v>98</v>
      </c>
      <c r="E419" s="2" t="s">
        <v>46</v>
      </c>
      <c r="F419" s="2">
        <v>44</v>
      </c>
      <c r="G419" s="2" t="s">
        <v>32</v>
      </c>
      <c r="H419" s="3" t="s">
        <v>600</v>
      </c>
      <c r="I419" s="2"/>
      <c r="J419" s="2" t="s">
        <v>8</v>
      </c>
      <c r="K419" s="2">
        <v>128869</v>
      </c>
      <c r="L419" s="2">
        <v>1</v>
      </c>
      <c r="M419" s="2">
        <v>4</v>
      </c>
      <c r="N419" s="2" t="s">
        <v>8</v>
      </c>
      <c r="O419" s="2">
        <v>11</v>
      </c>
      <c r="P419" s="2">
        <f ca="1">ROUND((IF(I419="",TODAY(),I419)-H419)/365,1)</f>
        <v>4</v>
      </c>
      <c r="Q419" s="2" t="str">
        <f t="shared" si="6"/>
        <v>Low</v>
      </c>
    </row>
    <row r="420" spans="1:17" x14ac:dyDescent="0.35">
      <c r="A420" s="2" t="s">
        <v>1299</v>
      </c>
      <c r="B420" s="2" t="s">
        <v>1300</v>
      </c>
      <c r="C420" s="2" t="s">
        <v>11</v>
      </c>
      <c r="D420" s="2" t="s">
        <v>66</v>
      </c>
      <c r="E420" s="2" t="s">
        <v>31</v>
      </c>
      <c r="F420" s="2">
        <v>50</v>
      </c>
      <c r="G420" s="2" t="s">
        <v>78</v>
      </c>
      <c r="H420" s="3" t="s">
        <v>1301</v>
      </c>
      <c r="I420" s="2"/>
      <c r="J420" s="2" t="s">
        <v>8</v>
      </c>
      <c r="K420" s="2">
        <v>135736</v>
      </c>
      <c r="L420" s="2">
        <v>5</v>
      </c>
      <c r="M420" s="2">
        <v>3</v>
      </c>
      <c r="N420" s="2" t="s">
        <v>8</v>
      </c>
      <c r="O420" s="2">
        <v>21</v>
      </c>
      <c r="P420" s="2">
        <f ca="1">ROUND((IF(I420="",TODAY(),I420)-H420)/365,1)</f>
        <v>1.1000000000000001</v>
      </c>
      <c r="Q420" s="2" t="str">
        <f t="shared" si="6"/>
        <v>Low</v>
      </c>
    </row>
    <row r="421" spans="1:17" x14ac:dyDescent="0.35">
      <c r="A421" s="2" t="s">
        <v>1302</v>
      </c>
      <c r="B421" s="2" t="s">
        <v>837</v>
      </c>
      <c r="C421" s="2" t="s">
        <v>12</v>
      </c>
      <c r="D421" s="2" t="s">
        <v>133</v>
      </c>
      <c r="E421" s="2" t="s">
        <v>46</v>
      </c>
      <c r="F421" s="2">
        <v>58</v>
      </c>
      <c r="G421" s="2" t="s">
        <v>78</v>
      </c>
      <c r="H421" s="3" t="s">
        <v>1303</v>
      </c>
      <c r="I421" s="2"/>
      <c r="J421" s="2" t="s">
        <v>8</v>
      </c>
      <c r="K421" s="2">
        <v>84297</v>
      </c>
      <c r="L421" s="2">
        <v>3</v>
      </c>
      <c r="M421" s="2">
        <v>5</v>
      </c>
      <c r="N421" s="2" t="s">
        <v>6</v>
      </c>
      <c r="O421" s="2">
        <v>24</v>
      </c>
      <c r="P421" s="2">
        <f ca="1">ROUND((IF(I421="",TODAY(),I421)-H421)/365,1)</f>
        <v>5.5</v>
      </c>
      <c r="Q421" s="2" t="str">
        <f t="shared" si="6"/>
        <v>Medium</v>
      </c>
    </row>
    <row r="422" spans="1:17" x14ac:dyDescent="0.35">
      <c r="A422" s="2" t="s">
        <v>1304</v>
      </c>
      <c r="B422" s="2" t="s">
        <v>1305</v>
      </c>
      <c r="C422" s="2" t="s">
        <v>5</v>
      </c>
      <c r="D422" s="2" t="s">
        <v>102</v>
      </c>
      <c r="E422" s="2" t="s">
        <v>31</v>
      </c>
      <c r="F422" s="2">
        <v>23</v>
      </c>
      <c r="G422" s="2" t="s">
        <v>32</v>
      </c>
      <c r="H422" s="3" t="s">
        <v>1306</v>
      </c>
      <c r="I422" s="2"/>
      <c r="J422" s="2" t="s">
        <v>8</v>
      </c>
      <c r="K422" s="2">
        <v>54083</v>
      </c>
      <c r="L422" s="2">
        <v>1</v>
      </c>
      <c r="M422" s="2">
        <v>3</v>
      </c>
      <c r="N422" s="2" t="s">
        <v>6</v>
      </c>
      <c r="O422" s="2">
        <v>20</v>
      </c>
      <c r="P422" s="2">
        <f ca="1">ROUND((IF(I422="",TODAY(),I422)-H422)/365,1)</f>
        <v>5.8</v>
      </c>
      <c r="Q422" s="2" t="str">
        <f t="shared" si="6"/>
        <v>Medium</v>
      </c>
    </row>
    <row r="423" spans="1:17" x14ac:dyDescent="0.35">
      <c r="A423" s="2" t="s">
        <v>1307</v>
      </c>
      <c r="B423" s="2" t="s">
        <v>763</v>
      </c>
      <c r="C423" s="2" t="s">
        <v>5</v>
      </c>
      <c r="D423" s="2" t="s">
        <v>102</v>
      </c>
      <c r="E423" s="2" t="s">
        <v>46</v>
      </c>
      <c r="F423" s="2">
        <v>57</v>
      </c>
      <c r="G423" s="2" t="s">
        <v>78</v>
      </c>
      <c r="H423" s="3" t="s">
        <v>1308</v>
      </c>
      <c r="I423" s="3" t="s">
        <v>1309</v>
      </c>
      <c r="J423" s="2" t="s">
        <v>6</v>
      </c>
      <c r="K423" s="2">
        <v>85341</v>
      </c>
      <c r="L423" s="2">
        <v>1</v>
      </c>
      <c r="M423" s="2">
        <v>2</v>
      </c>
      <c r="N423" s="2" t="s">
        <v>8</v>
      </c>
      <c r="O423" s="2">
        <v>3</v>
      </c>
      <c r="P423" s="2">
        <f ca="1">ROUND((IF(I423="",TODAY(),I423)-H423)/365,1)</f>
        <v>1.6</v>
      </c>
      <c r="Q423" s="2" t="str">
        <f t="shared" si="6"/>
        <v>N/A</v>
      </c>
    </row>
    <row r="424" spans="1:17" x14ac:dyDescent="0.35">
      <c r="A424" s="2" t="s">
        <v>1310</v>
      </c>
      <c r="B424" s="2" t="s">
        <v>1311</v>
      </c>
      <c r="C424" s="2" t="s">
        <v>9</v>
      </c>
      <c r="D424" s="2" t="s">
        <v>77</v>
      </c>
      <c r="E424" s="2" t="s">
        <v>31</v>
      </c>
      <c r="F424" s="2">
        <v>41</v>
      </c>
      <c r="G424" s="2" t="s">
        <v>78</v>
      </c>
      <c r="H424" s="3" t="s">
        <v>1312</v>
      </c>
      <c r="I424" s="2"/>
      <c r="J424" s="2" t="s">
        <v>8</v>
      </c>
      <c r="K424" s="2">
        <v>119841</v>
      </c>
      <c r="L424" s="2">
        <v>2</v>
      </c>
      <c r="M424" s="2">
        <v>5</v>
      </c>
      <c r="N424" s="2" t="s">
        <v>8</v>
      </c>
      <c r="O424" s="2">
        <v>5</v>
      </c>
      <c r="P424" s="2">
        <f ca="1">ROUND((IF(I424="",TODAY(),I424)-H424)/365,1)</f>
        <v>10.6</v>
      </c>
      <c r="Q424" s="2" t="str">
        <f t="shared" si="6"/>
        <v>Low</v>
      </c>
    </row>
    <row r="425" spans="1:17" x14ac:dyDescent="0.35">
      <c r="A425" s="2" t="s">
        <v>1313</v>
      </c>
      <c r="B425" s="2" t="s">
        <v>1314</v>
      </c>
      <c r="C425" s="2" t="s">
        <v>7</v>
      </c>
      <c r="D425" s="2" t="s">
        <v>125</v>
      </c>
      <c r="E425" s="2" t="s">
        <v>31</v>
      </c>
      <c r="F425" s="2">
        <v>24</v>
      </c>
      <c r="G425" s="2" t="s">
        <v>78</v>
      </c>
      <c r="H425" s="3" t="s">
        <v>1315</v>
      </c>
      <c r="I425" s="2"/>
      <c r="J425" s="2" t="s">
        <v>8</v>
      </c>
      <c r="K425" s="2">
        <v>145831</v>
      </c>
      <c r="L425" s="2">
        <v>1</v>
      </c>
      <c r="M425" s="2">
        <v>4</v>
      </c>
      <c r="N425" s="2" t="s">
        <v>8</v>
      </c>
      <c r="O425" s="2">
        <v>4</v>
      </c>
      <c r="P425" s="2">
        <f ca="1">ROUND((IF(I425="",TODAY(),I425)-H425)/365,1)</f>
        <v>3.4</v>
      </c>
      <c r="Q425" s="2" t="str">
        <f t="shared" si="6"/>
        <v>Low</v>
      </c>
    </row>
    <row r="426" spans="1:17" x14ac:dyDescent="0.35">
      <c r="A426" s="2" t="s">
        <v>1316</v>
      </c>
      <c r="B426" s="2" t="s">
        <v>1124</v>
      </c>
      <c r="C426" s="2" t="s">
        <v>10</v>
      </c>
      <c r="D426" s="2" t="s">
        <v>258</v>
      </c>
      <c r="E426" s="2" t="s">
        <v>31</v>
      </c>
      <c r="F426" s="2">
        <v>22</v>
      </c>
      <c r="G426" s="2" t="s">
        <v>32</v>
      </c>
      <c r="H426" s="3" t="s">
        <v>1317</v>
      </c>
      <c r="I426" s="2"/>
      <c r="J426" s="2" t="s">
        <v>8</v>
      </c>
      <c r="K426" s="2">
        <v>93731</v>
      </c>
      <c r="L426" s="2">
        <v>1</v>
      </c>
      <c r="M426" s="2">
        <v>4</v>
      </c>
      <c r="N426" s="2" t="s">
        <v>8</v>
      </c>
      <c r="O426" s="2">
        <v>20</v>
      </c>
      <c r="P426" s="2">
        <f ca="1">ROUND((IF(I426="",TODAY(),I426)-H426)/365,1)</f>
        <v>4.5</v>
      </c>
      <c r="Q426" s="2" t="str">
        <f t="shared" si="6"/>
        <v>Low</v>
      </c>
    </row>
    <row r="427" spans="1:17" x14ac:dyDescent="0.35">
      <c r="A427" s="2" t="s">
        <v>1318</v>
      </c>
      <c r="B427" s="2" t="s">
        <v>1075</v>
      </c>
      <c r="C427" s="2" t="s">
        <v>11</v>
      </c>
      <c r="D427" s="2" t="s">
        <v>45</v>
      </c>
      <c r="E427" s="2" t="s">
        <v>46</v>
      </c>
      <c r="F427" s="2">
        <v>31</v>
      </c>
      <c r="G427" s="2" t="s">
        <v>56</v>
      </c>
      <c r="H427" s="3" t="s">
        <v>1032</v>
      </c>
      <c r="I427" s="3" t="s">
        <v>1319</v>
      </c>
      <c r="J427" s="2" t="s">
        <v>6</v>
      </c>
      <c r="K427" s="2">
        <v>100399</v>
      </c>
      <c r="L427" s="2">
        <v>4</v>
      </c>
      <c r="M427" s="2">
        <v>4</v>
      </c>
      <c r="N427" s="2" t="s">
        <v>8</v>
      </c>
      <c r="O427" s="2">
        <v>39</v>
      </c>
      <c r="P427" s="2">
        <f ca="1">ROUND((IF(I427="",TODAY(),I427)-H427)/365,1)</f>
        <v>5</v>
      </c>
      <c r="Q427" s="2" t="str">
        <f t="shared" si="6"/>
        <v>N/A</v>
      </c>
    </row>
    <row r="428" spans="1:17" x14ac:dyDescent="0.35">
      <c r="A428" s="2" t="s">
        <v>1320</v>
      </c>
      <c r="B428" s="2" t="s">
        <v>519</v>
      </c>
      <c r="C428" s="2" t="s">
        <v>9</v>
      </c>
      <c r="D428" s="2" t="s">
        <v>41</v>
      </c>
      <c r="E428" s="2" t="s">
        <v>31</v>
      </c>
      <c r="F428" s="2">
        <v>27</v>
      </c>
      <c r="G428" s="2" t="s">
        <v>32</v>
      </c>
      <c r="H428" s="3" t="s">
        <v>1321</v>
      </c>
      <c r="I428" s="2"/>
      <c r="J428" s="2" t="s">
        <v>8</v>
      </c>
      <c r="K428" s="2">
        <v>59413</v>
      </c>
      <c r="L428" s="2">
        <v>5</v>
      </c>
      <c r="M428" s="2">
        <v>1</v>
      </c>
      <c r="N428" s="2" t="s">
        <v>8</v>
      </c>
      <c r="O428" s="2">
        <v>26</v>
      </c>
      <c r="P428" s="2">
        <f ca="1">ROUND((IF(I428="",TODAY(),I428)-H428)/365,1)</f>
        <v>6.3</v>
      </c>
      <c r="Q428" s="2" t="str">
        <f t="shared" si="6"/>
        <v>Medium</v>
      </c>
    </row>
    <row r="429" spans="1:17" x14ac:dyDescent="0.35">
      <c r="A429" s="2" t="s">
        <v>1322</v>
      </c>
      <c r="B429" s="2" t="s">
        <v>1323</v>
      </c>
      <c r="C429" s="2" t="s">
        <v>10</v>
      </c>
      <c r="D429" s="2" t="s">
        <v>70</v>
      </c>
      <c r="E429" s="2" t="s">
        <v>31</v>
      </c>
      <c r="F429" s="2">
        <v>57</v>
      </c>
      <c r="G429" s="2" t="s">
        <v>56</v>
      </c>
      <c r="H429" s="3" t="s">
        <v>1324</v>
      </c>
      <c r="I429" s="2"/>
      <c r="J429" s="2" t="s">
        <v>8</v>
      </c>
      <c r="K429" s="2">
        <v>105739</v>
      </c>
      <c r="L429" s="2">
        <v>2</v>
      </c>
      <c r="M429" s="2">
        <v>5</v>
      </c>
      <c r="N429" s="2" t="s">
        <v>8</v>
      </c>
      <c r="O429" s="2">
        <v>36</v>
      </c>
      <c r="P429" s="2">
        <f ca="1">ROUND((IF(I429="",TODAY(),I429)-H429)/365,1)</f>
        <v>9.4</v>
      </c>
      <c r="Q429" s="2" t="str">
        <f t="shared" si="6"/>
        <v>Low</v>
      </c>
    </row>
    <row r="430" spans="1:17" x14ac:dyDescent="0.35">
      <c r="A430" s="2" t="s">
        <v>1325</v>
      </c>
      <c r="B430" s="2" t="s">
        <v>167</v>
      </c>
      <c r="C430" s="2" t="s">
        <v>7</v>
      </c>
      <c r="D430" s="2" t="s">
        <v>155</v>
      </c>
      <c r="E430" s="2" t="s">
        <v>46</v>
      </c>
      <c r="F430" s="2">
        <v>58</v>
      </c>
      <c r="G430" s="2" t="s">
        <v>32</v>
      </c>
      <c r="H430" s="3" t="s">
        <v>1326</v>
      </c>
      <c r="I430" s="2"/>
      <c r="J430" s="2" t="s">
        <v>8</v>
      </c>
      <c r="K430" s="2">
        <v>70653</v>
      </c>
      <c r="L430" s="2">
        <v>4</v>
      </c>
      <c r="M430" s="2">
        <v>4</v>
      </c>
      <c r="N430" s="2" t="s">
        <v>6</v>
      </c>
      <c r="O430" s="2">
        <v>24</v>
      </c>
      <c r="P430" s="2">
        <f ca="1">ROUND((IF(I430="",TODAY(),I430)-H430)/365,1)</f>
        <v>10.6</v>
      </c>
      <c r="Q430" s="2" t="str">
        <f t="shared" si="6"/>
        <v>Medium</v>
      </c>
    </row>
    <row r="431" spans="1:17" x14ac:dyDescent="0.35">
      <c r="A431" s="2" t="s">
        <v>1327</v>
      </c>
      <c r="B431" s="2" t="s">
        <v>1328</v>
      </c>
      <c r="C431" s="2" t="s">
        <v>11</v>
      </c>
      <c r="D431" s="2" t="s">
        <v>98</v>
      </c>
      <c r="E431" s="2" t="s">
        <v>31</v>
      </c>
      <c r="F431" s="2">
        <v>44</v>
      </c>
      <c r="G431" s="2" t="s">
        <v>32</v>
      </c>
      <c r="H431" s="3" t="s">
        <v>1329</v>
      </c>
      <c r="I431" s="2"/>
      <c r="J431" s="2" t="s">
        <v>8</v>
      </c>
      <c r="K431" s="2">
        <v>82732</v>
      </c>
      <c r="L431" s="2">
        <v>5</v>
      </c>
      <c r="M431" s="2">
        <v>4</v>
      </c>
      <c r="N431" s="2" t="s">
        <v>8</v>
      </c>
      <c r="O431" s="2">
        <v>10</v>
      </c>
      <c r="P431" s="2">
        <f ca="1">ROUND((IF(I431="",TODAY(),I431)-H431)/365,1)</f>
        <v>4.7</v>
      </c>
      <c r="Q431" s="2" t="str">
        <f t="shared" si="6"/>
        <v>Low</v>
      </c>
    </row>
    <row r="432" spans="1:17" x14ac:dyDescent="0.35">
      <c r="A432" s="2" t="s">
        <v>1330</v>
      </c>
      <c r="B432" s="2" t="s">
        <v>330</v>
      </c>
      <c r="C432" s="2" t="s">
        <v>7</v>
      </c>
      <c r="D432" s="2" t="s">
        <v>155</v>
      </c>
      <c r="E432" s="2" t="s">
        <v>46</v>
      </c>
      <c r="F432" s="2">
        <v>29</v>
      </c>
      <c r="G432" s="2" t="s">
        <v>78</v>
      </c>
      <c r="H432" s="3" t="s">
        <v>1331</v>
      </c>
      <c r="I432" s="2"/>
      <c r="J432" s="2" t="s">
        <v>8</v>
      </c>
      <c r="K432" s="2">
        <v>26800</v>
      </c>
      <c r="L432" s="2">
        <v>2</v>
      </c>
      <c r="M432" s="2">
        <v>5</v>
      </c>
      <c r="N432" s="2" t="s">
        <v>6</v>
      </c>
      <c r="O432" s="2">
        <v>19</v>
      </c>
      <c r="P432" s="2">
        <f ca="1">ROUND((IF(I432="",TODAY(),I432)-H432)/365,1)</f>
        <v>3.3</v>
      </c>
      <c r="Q432" s="2" t="str">
        <f t="shared" si="6"/>
        <v>Medium</v>
      </c>
    </row>
    <row r="433" spans="1:17" x14ac:dyDescent="0.35">
      <c r="A433" s="2" t="s">
        <v>1332</v>
      </c>
      <c r="B433" s="2" t="s">
        <v>1333</v>
      </c>
      <c r="C433" s="2" t="s">
        <v>5</v>
      </c>
      <c r="D433" s="2" t="s">
        <v>207</v>
      </c>
      <c r="E433" s="2" t="s">
        <v>46</v>
      </c>
      <c r="F433" s="2">
        <v>43</v>
      </c>
      <c r="G433" s="2" t="s">
        <v>78</v>
      </c>
      <c r="H433" s="3" t="s">
        <v>1334</v>
      </c>
      <c r="I433" s="2"/>
      <c r="J433" s="2" t="s">
        <v>8</v>
      </c>
      <c r="K433" s="2">
        <v>93585</v>
      </c>
      <c r="L433" s="2">
        <v>2</v>
      </c>
      <c r="M433" s="2">
        <v>2</v>
      </c>
      <c r="N433" s="2" t="s">
        <v>8</v>
      </c>
      <c r="O433" s="2">
        <v>35</v>
      </c>
      <c r="P433" s="2">
        <f ca="1">ROUND((IF(I433="",TODAY(),I433)-H433)/365,1)</f>
        <v>9.3000000000000007</v>
      </c>
      <c r="Q433" s="2" t="str">
        <f t="shared" si="6"/>
        <v>Medium</v>
      </c>
    </row>
    <row r="434" spans="1:17" x14ac:dyDescent="0.35">
      <c r="A434" s="2" t="s">
        <v>1335</v>
      </c>
      <c r="B434" s="2" t="s">
        <v>1276</v>
      </c>
      <c r="C434" s="2" t="s">
        <v>11</v>
      </c>
      <c r="D434" s="2" t="s">
        <v>98</v>
      </c>
      <c r="E434" s="2" t="s">
        <v>31</v>
      </c>
      <c r="F434" s="2">
        <v>55</v>
      </c>
      <c r="G434" s="2" t="s">
        <v>56</v>
      </c>
      <c r="H434" s="3" t="s">
        <v>450</v>
      </c>
      <c r="I434" s="2"/>
      <c r="J434" s="2" t="s">
        <v>8</v>
      </c>
      <c r="K434" s="2">
        <v>128440</v>
      </c>
      <c r="L434" s="2">
        <v>3</v>
      </c>
      <c r="M434" s="2">
        <v>1</v>
      </c>
      <c r="N434" s="2" t="s">
        <v>6</v>
      </c>
      <c r="O434" s="2">
        <v>13</v>
      </c>
      <c r="P434" s="2">
        <f ca="1">ROUND((IF(I434="",TODAY(),I434)-H434)/365,1)</f>
        <v>11.1</v>
      </c>
      <c r="Q434" s="2" t="str">
        <f t="shared" si="6"/>
        <v>High</v>
      </c>
    </row>
    <row r="435" spans="1:17" x14ac:dyDescent="0.35">
      <c r="A435" s="2" t="s">
        <v>1336</v>
      </c>
      <c r="B435" s="2" t="s">
        <v>681</v>
      </c>
      <c r="C435" s="2" t="s">
        <v>5</v>
      </c>
      <c r="D435" s="2" t="s">
        <v>207</v>
      </c>
      <c r="E435" s="2" t="s">
        <v>31</v>
      </c>
      <c r="F435" s="2">
        <v>39</v>
      </c>
      <c r="G435" s="2" t="s">
        <v>56</v>
      </c>
      <c r="H435" s="3" t="s">
        <v>200</v>
      </c>
      <c r="I435" s="2"/>
      <c r="J435" s="2" t="s">
        <v>8</v>
      </c>
      <c r="K435" s="2">
        <v>63337</v>
      </c>
      <c r="L435" s="2">
        <v>1</v>
      </c>
      <c r="M435" s="2">
        <v>3</v>
      </c>
      <c r="N435" s="2" t="s">
        <v>8</v>
      </c>
      <c r="O435" s="2">
        <v>2</v>
      </c>
      <c r="P435" s="2">
        <f ca="1">ROUND((IF(I435="",TODAY(),I435)-H435)/365,1)</f>
        <v>4.2</v>
      </c>
      <c r="Q435" s="2" t="str">
        <f t="shared" si="6"/>
        <v>Low</v>
      </c>
    </row>
    <row r="436" spans="1:17" x14ac:dyDescent="0.35">
      <c r="A436" s="2" t="s">
        <v>1337</v>
      </c>
      <c r="B436" s="2" t="s">
        <v>1338</v>
      </c>
      <c r="C436" s="2" t="s">
        <v>10</v>
      </c>
      <c r="D436" s="2" t="s">
        <v>70</v>
      </c>
      <c r="E436" s="2" t="s">
        <v>31</v>
      </c>
      <c r="F436" s="2">
        <v>56</v>
      </c>
      <c r="G436" s="2" t="s">
        <v>56</v>
      </c>
      <c r="H436" s="3" t="s">
        <v>1339</v>
      </c>
      <c r="I436" s="3" t="s">
        <v>1340</v>
      </c>
      <c r="J436" s="2" t="s">
        <v>6</v>
      </c>
      <c r="K436" s="2">
        <v>146418</v>
      </c>
      <c r="L436" s="2">
        <v>4</v>
      </c>
      <c r="M436" s="2">
        <v>5</v>
      </c>
      <c r="N436" s="2" t="s">
        <v>6</v>
      </c>
      <c r="O436" s="2">
        <v>36</v>
      </c>
      <c r="P436" s="2">
        <f ca="1">ROUND((IF(I436="",TODAY(),I436)-H436)/365,1)</f>
        <v>2.9</v>
      </c>
      <c r="Q436" s="2" t="str">
        <f t="shared" si="6"/>
        <v>N/A</v>
      </c>
    </row>
    <row r="437" spans="1:17" x14ac:dyDescent="0.35">
      <c r="A437" s="2" t="s">
        <v>1341</v>
      </c>
      <c r="B437" s="2" t="s">
        <v>179</v>
      </c>
      <c r="C437" s="2" t="s">
        <v>11</v>
      </c>
      <c r="D437" s="2" t="s">
        <v>66</v>
      </c>
      <c r="E437" s="2" t="s">
        <v>46</v>
      </c>
      <c r="F437" s="2">
        <v>32</v>
      </c>
      <c r="G437" s="2" t="s">
        <v>32</v>
      </c>
      <c r="H437" s="3" t="s">
        <v>1342</v>
      </c>
      <c r="I437" s="2"/>
      <c r="J437" s="2" t="s">
        <v>8</v>
      </c>
      <c r="K437" s="2">
        <v>64626</v>
      </c>
      <c r="L437" s="2">
        <v>3</v>
      </c>
      <c r="M437" s="2">
        <v>3</v>
      </c>
      <c r="N437" s="2" t="s">
        <v>6</v>
      </c>
      <c r="O437" s="2">
        <v>41</v>
      </c>
      <c r="P437" s="2">
        <f ca="1">ROUND((IF(I437="",TODAY(),I437)-H437)/365,1)</f>
        <v>11.4</v>
      </c>
      <c r="Q437" s="2" t="str">
        <f t="shared" si="6"/>
        <v>Medium</v>
      </c>
    </row>
    <row r="438" spans="1:17" x14ac:dyDescent="0.35">
      <c r="A438" s="2" t="s">
        <v>1343</v>
      </c>
      <c r="B438" s="2" t="s">
        <v>1174</v>
      </c>
      <c r="C438" s="2" t="s">
        <v>11</v>
      </c>
      <c r="D438" s="2" t="s">
        <v>66</v>
      </c>
      <c r="E438" s="2" t="s">
        <v>31</v>
      </c>
      <c r="F438" s="2">
        <v>23</v>
      </c>
      <c r="G438" s="2" t="s">
        <v>78</v>
      </c>
      <c r="H438" s="3" t="s">
        <v>1344</v>
      </c>
      <c r="I438" s="2"/>
      <c r="J438" s="2" t="s">
        <v>8</v>
      </c>
      <c r="K438" s="2">
        <v>142594</v>
      </c>
      <c r="L438" s="2">
        <v>2</v>
      </c>
      <c r="M438" s="2">
        <v>2</v>
      </c>
      <c r="N438" s="2" t="s">
        <v>8</v>
      </c>
      <c r="O438" s="2">
        <v>22</v>
      </c>
      <c r="P438" s="2">
        <f ca="1">ROUND((IF(I438="",TODAY(),I438)-H438)/365,1)</f>
        <v>5.4</v>
      </c>
      <c r="Q438" s="2" t="str">
        <f t="shared" si="6"/>
        <v>Medium</v>
      </c>
    </row>
    <row r="439" spans="1:17" x14ac:dyDescent="0.35">
      <c r="A439" s="2" t="s">
        <v>1345</v>
      </c>
      <c r="B439" s="2" t="s">
        <v>86</v>
      </c>
      <c r="C439" s="2" t="s">
        <v>5</v>
      </c>
      <c r="D439" s="2" t="s">
        <v>102</v>
      </c>
      <c r="E439" s="2" t="s">
        <v>46</v>
      </c>
      <c r="F439" s="2">
        <v>36</v>
      </c>
      <c r="G439" s="2" t="s">
        <v>56</v>
      </c>
      <c r="H439" s="3" t="s">
        <v>1346</v>
      </c>
      <c r="I439" s="3" t="s">
        <v>1347</v>
      </c>
      <c r="J439" s="2" t="s">
        <v>6</v>
      </c>
      <c r="K439" s="2">
        <v>144240</v>
      </c>
      <c r="L439" s="2">
        <v>4</v>
      </c>
      <c r="M439" s="2">
        <v>2</v>
      </c>
      <c r="N439" s="2" t="s">
        <v>6</v>
      </c>
      <c r="O439" s="2">
        <v>20</v>
      </c>
      <c r="P439" s="2">
        <f ca="1">ROUND((IF(I439="",TODAY(),I439)-H439)/365,1)</f>
        <v>6.2</v>
      </c>
      <c r="Q439" s="2" t="str">
        <f t="shared" si="6"/>
        <v>N/A</v>
      </c>
    </row>
    <row r="440" spans="1:17" x14ac:dyDescent="0.35">
      <c r="A440" s="2" t="s">
        <v>1348</v>
      </c>
      <c r="B440" s="2" t="s">
        <v>380</v>
      </c>
      <c r="C440" s="2" t="s">
        <v>7</v>
      </c>
      <c r="D440" s="2" t="s">
        <v>155</v>
      </c>
      <c r="E440" s="2" t="s">
        <v>31</v>
      </c>
      <c r="F440" s="2">
        <v>34</v>
      </c>
      <c r="G440" s="2" t="s">
        <v>32</v>
      </c>
      <c r="H440" s="3" t="s">
        <v>1349</v>
      </c>
      <c r="I440" s="2"/>
      <c r="J440" s="2" t="s">
        <v>8</v>
      </c>
      <c r="K440" s="2">
        <v>144144</v>
      </c>
      <c r="L440" s="2">
        <v>2</v>
      </c>
      <c r="M440" s="2">
        <v>5</v>
      </c>
      <c r="N440" s="2" t="s">
        <v>6</v>
      </c>
      <c r="O440" s="2">
        <v>28</v>
      </c>
      <c r="P440" s="2">
        <f ca="1">ROUND((IF(I440="",TODAY(),I440)-H440)/365,1)</f>
        <v>1.9</v>
      </c>
      <c r="Q440" s="2" t="str">
        <f t="shared" si="6"/>
        <v>Medium</v>
      </c>
    </row>
    <row r="441" spans="1:17" x14ac:dyDescent="0.35">
      <c r="A441" s="2" t="s">
        <v>1350</v>
      </c>
      <c r="B441" s="2" t="s">
        <v>44</v>
      </c>
      <c r="C441" s="2" t="s">
        <v>11</v>
      </c>
      <c r="D441" s="2" t="s">
        <v>45</v>
      </c>
      <c r="E441" s="2" t="s">
        <v>46</v>
      </c>
      <c r="F441" s="2">
        <v>56</v>
      </c>
      <c r="G441" s="2" t="s">
        <v>78</v>
      </c>
      <c r="H441" s="3" t="s">
        <v>1351</v>
      </c>
      <c r="I441" s="2"/>
      <c r="J441" s="2" t="s">
        <v>8</v>
      </c>
      <c r="K441" s="2">
        <v>125327</v>
      </c>
      <c r="L441" s="2">
        <v>2</v>
      </c>
      <c r="M441" s="2">
        <v>3</v>
      </c>
      <c r="N441" s="2" t="s">
        <v>6</v>
      </c>
      <c r="O441" s="2">
        <v>2</v>
      </c>
      <c r="P441" s="2">
        <f ca="1">ROUND((IF(I441="",TODAY(),I441)-H441)/365,1)</f>
        <v>3.5</v>
      </c>
      <c r="Q441" s="2" t="str">
        <f t="shared" si="6"/>
        <v>Medium</v>
      </c>
    </row>
    <row r="442" spans="1:17" x14ac:dyDescent="0.35">
      <c r="A442" s="2" t="s">
        <v>1352</v>
      </c>
      <c r="B442" s="2" t="s">
        <v>1353</v>
      </c>
      <c r="C442" s="2" t="s">
        <v>10</v>
      </c>
      <c r="D442" s="2" t="s">
        <v>258</v>
      </c>
      <c r="E442" s="2" t="s">
        <v>46</v>
      </c>
      <c r="F442" s="2">
        <v>31</v>
      </c>
      <c r="G442" s="2" t="s">
        <v>56</v>
      </c>
      <c r="H442" s="3" t="s">
        <v>705</v>
      </c>
      <c r="I442" s="2"/>
      <c r="J442" s="2" t="s">
        <v>8</v>
      </c>
      <c r="K442" s="2">
        <v>124935</v>
      </c>
      <c r="L442" s="2">
        <v>2</v>
      </c>
      <c r="M442" s="2">
        <v>2</v>
      </c>
      <c r="N442" s="2" t="s">
        <v>6</v>
      </c>
      <c r="O442" s="2">
        <v>2</v>
      </c>
      <c r="P442" s="2">
        <f ca="1">ROUND((IF(I442="",TODAY(),I442)-H442)/365,1)</f>
        <v>2.9</v>
      </c>
      <c r="Q442" s="2" t="str">
        <f t="shared" si="6"/>
        <v>High</v>
      </c>
    </row>
    <row r="443" spans="1:17" x14ac:dyDescent="0.35">
      <c r="A443" s="2" t="s">
        <v>1354</v>
      </c>
      <c r="B443" s="2" t="s">
        <v>886</v>
      </c>
      <c r="C443" s="2" t="s">
        <v>11</v>
      </c>
      <c r="D443" s="2" t="s">
        <v>98</v>
      </c>
      <c r="E443" s="2" t="s">
        <v>31</v>
      </c>
      <c r="F443" s="2">
        <v>36</v>
      </c>
      <c r="G443" s="2" t="s">
        <v>56</v>
      </c>
      <c r="H443" s="3" t="s">
        <v>1355</v>
      </c>
      <c r="I443" s="2"/>
      <c r="J443" s="2" t="s">
        <v>8</v>
      </c>
      <c r="K443" s="2">
        <v>90840</v>
      </c>
      <c r="L443" s="2">
        <v>4</v>
      </c>
      <c r="M443" s="2">
        <v>1</v>
      </c>
      <c r="N443" s="2" t="s">
        <v>6</v>
      </c>
      <c r="O443" s="2">
        <v>9</v>
      </c>
      <c r="P443" s="2">
        <f ca="1">ROUND((IF(I443="",TODAY(),I443)-H443)/365,1)</f>
        <v>3.9</v>
      </c>
      <c r="Q443" s="2" t="str">
        <f t="shared" si="6"/>
        <v>High</v>
      </c>
    </row>
    <row r="444" spans="1:17" x14ac:dyDescent="0.35">
      <c r="A444" s="2" t="s">
        <v>1356</v>
      </c>
      <c r="B444" s="2" t="s">
        <v>247</v>
      </c>
      <c r="C444" s="2" t="s">
        <v>12</v>
      </c>
      <c r="D444" s="2" t="s">
        <v>133</v>
      </c>
      <c r="E444" s="2" t="s">
        <v>31</v>
      </c>
      <c r="F444" s="2">
        <v>52</v>
      </c>
      <c r="G444" s="2" t="s">
        <v>32</v>
      </c>
      <c r="H444" s="3" t="s">
        <v>1357</v>
      </c>
      <c r="I444" s="2"/>
      <c r="J444" s="2" t="s">
        <v>8</v>
      </c>
      <c r="K444" s="2">
        <v>125209</v>
      </c>
      <c r="L444" s="2">
        <v>1</v>
      </c>
      <c r="M444" s="2">
        <v>2</v>
      </c>
      <c r="N444" s="2" t="s">
        <v>6</v>
      </c>
      <c r="O444" s="2">
        <v>27</v>
      </c>
      <c r="P444" s="2">
        <f ca="1">ROUND((IF(I444="",TODAY(),I444)-H444)/365,1)</f>
        <v>10.1</v>
      </c>
      <c r="Q444" s="2" t="str">
        <f t="shared" si="6"/>
        <v>High</v>
      </c>
    </row>
    <row r="445" spans="1:17" x14ac:dyDescent="0.35">
      <c r="A445" s="2" t="s">
        <v>1358</v>
      </c>
      <c r="B445" s="2" t="s">
        <v>192</v>
      </c>
      <c r="C445" s="2" t="s">
        <v>10</v>
      </c>
      <c r="D445" s="2" t="s">
        <v>111</v>
      </c>
      <c r="E445" s="2" t="s">
        <v>31</v>
      </c>
      <c r="F445" s="2">
        <v>33</v>
      </c>
      <c r="G445" s="2" t="s">
        <v>78</v>
      </c>
      <c r="H445" s="3" t="s">
        <v>1359</v>
      </c>
      <c r="I445" s="2"/>
      <c r="J445" s="2" t="s">
        <v>8</v>
      </c>
      <c r="K445" s="2">
        <v>115159</v>
      </c>
      <c r="L445" s="2">
        <v>5</v>
      </c>
      <c r="M445" s="2">
        <v>4</v>
      </c>
      <c r="N445" s="2" t="s">
        <v>8</v>
      </c>
      <c r="O445" s="2">
        <v>32</v>
      </c>
      <c r="P445" s="2">
        <f ca="1">ROUND((IF(I445="",TODAY(),I445)-H445)/365,1)</f>
        <v>1.2</v>
      </c>
      <c r="Q445" s="2" t="str">
        <f t="shared" si="6"/>
        <v>Low</v>
      </c>
    </row>
    <row r="446" spans="1:17" x14ac:dyDescent="0.35">
      <c r="A446" s="2" t="s">
        <v>1360</v>
      </c>
      <c r="B446" s="2" t="s">
        <v>1361</v>
      </c>
      <c r="C446" s="2" t="s">
        <v>7</v>
      </c>
      <c r="D446" s="2" t="s">
        <v>125</v>
      </c>
      <c r="E446" s="2" t="s">
        <v>46</v>
      </c>
      <c r="F446" s="2">
        <v>46</v>
      </c>
      <c r="G446" s="2" t="s">
        <v>56</v>
      </c>
      <c r="H446" s="3" t="s">
        <v>1362</v>
      </c>
      <c r="I446" s="2"/>
      <c r="J446" s="2" t="s">
        <v>8</v>
      </c>
      <c r="K446" s="2">
        <v>95275</v>
      </c>
      <c r="L446" s="2">
        <v>5</v>
      </c>
      <c r="M446" s="2">
        <v>5</v>
      </c>
      <c r="N446" s="2" t="s">
        <v>6</v>
      </c>
      <c r="O446" s="2">
        <v>39</v>
      </c>
      <c r="P446" s="2">
        <f ca="1">ROUND((IF(I446="",TODAY(),I446)-H446)/365,1)</f>
        <v>3.5</v>
      </c>
      <c r="Q446" s="2" t="str">
        <f t="shared" si="6"/>
        <v>Medium</v>
      </c>
    </row>
    <row r="447" spans="1:17" x14ac:dyDescent="0.35">
      <c r="A447" s="2" t="s">
        <v>1363</v>
      </c>
      <c r="B447" s="2" t="s">
        <v>1364</v>
      </c>
      <c r="C447" s="2" t="s">
        <v>12</v>
      </c>
      <c r="D447" s="2" t="s">
        <v>30</v>
      </c>
      <c r="E447" s="2" t="s">
        <v>31</v>
      </c>
      <c r="F447" s="2">
        <v>24</v>
      </c>
      <c r="G447" s="2" t="s">
        <v>32</v>
      </c>
      <c r="H447" s="3" t="s">
        <v>934</v>
      </c>
      <c r="I447" s="2"/>
      <c r="J447" s="2" t="s">
        <v>8</v>
      </c>
      <c r="K447" s="2">
        <v>121360</v>
      </c>
      <c r="L447" s="2">
        <v>5</v>
      </c>
      <c r="M447" s="2">
        <v>5</v>
      </c>
      <c r="N447" s="2" t="s">
        <v>8</v>
      </c>
      <c r="O447" s="2">
        <v>26</v>
      </c>
      <c r="P447" s="2">
        <f ca="1">ROUND((IF(I447="",TODAY(),I447)-H447)/365,1)</f>
        <v>1.8</v>
      </c>
      <c r="Q447" s="2" t="str">
        <f t="shared" si="6"/>
        <v>Low</v>
      </c>
    </row>
    <row r="448" spans="1:17" x14ac:dyDescent="0.35">
      <c r="A448" s="2" t="s">
        <v>1365</v>
      </c>
      <c r="B448" s="2" t="s">
        <v>1366</v>
      </c>
      <c r="C448" s="2" t="s">
        <v>11</v>
      </c>
      <c r="D448" s="2" t="s">
        <v>98</v>
      </c>
      <c r="E448" s="2" t="s">
        <v>31</v>
      </c>
      <c r="F448" s="2">
        <v>50</v>
      </c>
      <c r="G448" s="2" t="s">
        <v>78</v>
      </c>
      <c r="H448" s="3" t="s">
        <v>1367</v>
      </c>
      <c r="I448" s="2"/>
      <c r="J448" s="2" t="s">
        <v>8</v>
      </c>
      <c r="K448" s="2">
        <v>80372</v>
      </c>
      <c r="L448" s="2">
        <v>4</v>
      </c>
      <c r="M448" s="2">
        <v>3</v>
      </c>
      <c r="N448" s="2" t="s">
        <v>8</v>
      </c>
      <c r="O448" s="2">
        <v>11</v>
      </c>
      <c r="P448" s="2">
        <f ca="1">ROUND((IF(I448="",TODAY(),I448)-H448)/365,1)</f>
        <v>7.1</v>
      </c>
      <c r="Q448" s="2" t="str">
        <f t="shared" si="6"/>
        <v>Low</v>
      </c>
    </row>
    <row r="449" spans="1:17" x14ac:dyDescent="0.35">
      <c r="A449" s="2" t="s">
        <v>1368</v>
      </c>
      <c r="B449" s="2" t="s">
        <v>1364</v>
      </c>
      <c r="C449" s="2" t="s">
        <v>5</v>
      </c>
      <c r="D449" s="2" t="s">
        <v>102</v>
      </c>
      <c r="E449" s="2" t="s">
        <v>31</v>
      </c>
      <c r="F449" s="2">
        <v>27</v>
      </c>
      <c r="G449" s="2" t="s">
        <v>32</v>
      </c>
      <c r="H449" s="3" t="s">
        <v>1369</v>
      </c>
      <c r="I449" s="2"/>
      <c r="J449" s="2" t="s">
        <v>8</v>
      </c>
      <c r="K449" s="2">
        <v>96618</v>
      </c>
      <c r="L449" s="2">
        <v>5</v>
      </c>
      <c r="M449" s="2">
        <v>2</v>
      </c>
      <c r="N449" s="2" t="s">
        <v>8</v>
      </c>
      <c r="O449" s="2">
        <v>45</v>
      </c>
      <c r="P449" s="2">
        <f ca="1">ROUND((IF(I449="",TODAY(),I449)-H449)/365,1)</f>
        <v>3.5</v>
      </c>
      <c r="Q449" s="2" t="str">
        <f t="shared" si="6"/>
        <v>Medium</v>
      </c>
    </row>
    <row r="450" spans="1:17" x14ac:dyDescent="0.35">
      <c r="A450" s="2" t="s">
        <v>1370</v>
      </c>
      <c r="B450" s="2" t="s">
        <v>1371</v>
      </c>
      <c r="C450" s="2" t="s">
        <v>9</v>
      </c>
      <c r="D450" s="2" t="s">
        <v>41</v>
      </c>
      <c r="E450" s="2" t="s">
        <v>31</v>
      </c>
      <c r="F450" s="2">
        <v>34</v>
      </c>
      <c r="G450" s="2" t="s">
        <v>56</v>
      </c>
      <c r="H450" s="3" t="s">
        <v>1372</v>
      </c>
      <c r="I450" s="2"/>
      <c r="J450" s="2" t="s">
        <v>8</v>
      </c>
      <c r="K450" s="2">
        <v>110010</v>
      </c>
      <c r="L450" s="2">
        <v>3</v>
      </c>
      <c r="M450" s="2">
        <v>3</v>
      </c>
      <c r="N450" s="2" t="s">
        <v>8</v>
      </c>
      <c r="O450" s="2">
        <v>45</v>
      </c>
      <c r="P450" s="2">
        <f ca="1">ROUND((IF(I450="",TODAY(),I450)-H450)/365,1)</f>
        <v>1.7</v>
      </c>
      <c r="Q450" s="2" t="str">
        <f t="shared" ref="Q450:Q513" si="7">IF(J450="No",IF(AND(M450&lt;=2,N450="Yes"),"High",IF(OR(M450&lt;=2,N450="Yes"),"Medium","Low")),"N/A")</f>
        <v>Low</v>
      </c>
    </row>
    <row r="451" spans="1:17" x14ac:dyDescent="0.35">
      <c r="A451" s="2" t="s">
        <v>1373</v>
      </c>
      <c r="B451" s="2" t="s">
        <v>1374</v>
      </c>
      <c r="C451" s="2" t="s">
        <v>12</v>
      </c>
      <c r="D451" s="2" t="s">
        <v>55</v>
      </c>
      <c r="E451" s="2" t="s">
        <v>31</v>
      </c>
      <c r="F451" s="2">
        <v>50</v>
      </c>
      <c r="G451" s="2" t="s">
        <v>32</v>
      </c>
      <c r="H451" s="3" t="s">
        <v>1375</v>
      </c>
      <c r="I451" s="2"/>
      <c r="J451" s="2" t="s">
        <v>8</v>
      </c>
      <c r="K451" s="2">
        <v>105225</v>
      </c>
      <c r="L451" s="2">
        <v>4</v>
      </c>
      <c r="M451" s="2">
        <v>5</v>
      </c>
      <c r="N451" s="2" t="s">
        <v>8</v>
      </c>
      <c r="O451" s="2">
        <v>33</v>
      </c>
      <c r="P451" s="2">
        <f ca="1">ROUND((IF(I451="",TODAY(),I451)-H451)/365,1)</f>
        <v>4.5</v>
      </c>
      <c r="Q451" s="2" t="str">
        <f t="shared" si="7"/>
        <v>Low</v>
      </c>
    </row>
    <row r="452" spans="1:17" x14ac:dyDescent="0.35">
      <c r="A452" s="2" t="s">
        <v>1376</v>
      </c>
      <c r="B452" s="2" t="s">
        <v>1377</v>
      </c>
      <c r="C452" s="2" t="s">
        <v>10</v>
      </c>
      <c r="D452" s="2" t="s">
        <v>111</v>
      </c>
      <c r="E452" s="2" t="s">
        <v>31</v>
      </c>
      <c r="F452" s="2">
        <v>31</v>
      </c>
      <c r="G452" s="2" t="s">
        <v>78</v>
      </c>
      <c r="H452" s="3" t="s">
        <v>1378</v>
      </c>
      <c r="I452" s="2"/>
      <c r="J452" s="2" t="s">
        <v>8</v>
      </c>
      <c r="K452" s="2">
        <v>65378</v>
      </c>
      <c r="L452" s="2">
        <v>1</v>
      </c>
      <c r="M452" s="2">
        <v>2</v>
      </c>
      <c r="N452" s="2" t="s">
        <v>8</v>
      </c>
      <c r="O452" s="2">
        <v>27</v>
      </c>
      <c r="P452" s="2">
        <f ca="1">ROUND((IF(I452="",TODAY(),I452)-H452)/365,1)</f>
        <v>9.8000000000000007</v>
      </c>
      <c r="Q452" s="2" t="str">
        <f t="shared" si="7"/>
        <v>Medium</v>
      </c>
    </row>
    <row r="453" spans="1:17" x14ac:dyDescent="0.35">
      <c r="A453" s="2" t="s">
        <v>1379</v>
      </c>
      <c r="B453" s="2" t="s">
        <v>417</v>
      </c>
      <c r="C453" s="2" t="s">
        <v>10</v>
      </c>
      <c r="D453" s="2" t="s">
        <v>258</v>
      </c>
      <c r="E453" s="2" t="s">
        <v>31</v>
      </c>
      <c r="F453" s="2">
        <v>34</v>
      </c>
      <c r="G453" s="2" t="s">
        <v>78</v>
      </c>
      <c r="H453" s="3" t="s">
        <v>1380</v>
      </c>
      <c r="I453" s="2"/>
      <c r="J453" s="2" t="s">
        <v>8</v>
      </c>
      <c r="K453" s="2">
        <v>90225</v>
      </c>
      <c r="L453" s="2">
        <v>1</v>
      </c>
      <c r="M453" s="2">
        <v>3</v>
      </c>
      <c r="N453" s="2" t="s">
        <v>8</v>
      </c>
      <c r="O453" s="2">
        <v>30</v>
      </c>
      <c r="P453" s="2">
        <f ca="1">ROUND((IF(I453="",TODAY(),I453)-H453)/365,1)</f>
        <v>11.6</v>
      </c>
      <c r="Q453" s="2" t="str">
        <f t="shared" si="7"/>
        <v>Low</v>
      </c>
    </row>
    <row r="454" spans="1:17" x14ac:dyDescent="0.35">
      <c r="A454" s="2" t="s">
        <v>1381</v>
      </c>
      <c r="B454" s="2" t="s">
        <v>326</v>
      </c>
      <c r="C454" s="2" t="s">
        <v>5</v>
      </c>
      <c r="D454" s="2" t="s">
        <v>102</v>
      </c>
      <c r="E454" s="2" t="s">
        <v>46</v>
      </c>
      <c r="F454" s="2">
        <v>52</v>
      </c>
      <c r="G454" s="2" t="s">
        <v>32</v>
      </c>
      <c r="H454" s="3" t="s">
        <v>1382</v>
      </c>
      <c r="I454" s="2"/>
      <c r="J454" s="2" t="s">
        <v>8</v>
      </c>
      <c r="K454" s="2">
        <v>25861</v>
      </c>
      <c r="L454" s="2">
        <v>5</v>
      </c>
      <c r="M454" s="2">
        <v>1</v>
      </c>
      <c r="N454" s="2" t="s">
        <v>8</v>
      </c>
      <c r="O454" s="2">
        <v>39</v>
      </c>
      <c r="P454" s="2">
        <f ca="1">ROUND((IF(I454="",TODAY(),I454)-H454)/365,1)</f>
        <v>6.5</v>
      </c>
      <c r="Q454" s="2" t="str">
        <f t="shared" si="7"/>
        <v>Medium</v>
      </c>
    </row>
    <row r="455" spans="1:17" x14ac:dyDescent="0.35">
      <c r="A455" s="2" t="s">
        <v>1383</v>
      </c>
      <c r="B455" s="2" t="s">
        <v>1384</v>
      </c>
      <c r="C455" s="2" t="s">
        <v>9</v>
      </c>
      <c r="D455" s="2" t="s">
        <v>77</v>
      </c>
      <c r="E455" s="2" t="s">
        <v>31</v>
      </c>
      <c r="F455" s="2">
        <v>31</v>
      </c>
      <c r="G455" s="2" t="s">
        <v>56</v>
      </c>
      <c r="H455" s="3" t="s">
        <v>1385</v>
      </c>
      <c r="I455" s="2"/>
      <c r="J455" s="2" t="s">
        <v>8</v>
      </c>
      <c r="K455" s="2">
        <v>112424</v>
      </c>
      <c r="L455" s="2">
        <v>2</v>
      </c>
      <c r="M455" s="2">
        <v>1</v>
      </c>
      <c r="N455" s="2" t="s">
        <v>8</v>
      </c>
      <c r="O455" s="2">
        <v>3</v>
      </c>
      <c r="P455" s="2">
        <f ca="1">ROUND((IF(I455="",TODAY(),I455)-H455)/365,1)</f>
        <v>11</v>
      </c>
      <c r="Q455" s="2" t="str">
        <f t="shared" si="7"/>
        <v>Medium</v>
      </c>
    </row>
    <row r="456" spans="1:17" x14ac:dyDescent="0.35">
      <c r="A456" s="2" t="s">
        <v>1386</v>
      </c>
      <c r="B456" s="2" t="s">
        <v>1387</v>
      </c>
      <c r="C456" s="2" t="s">
        <v>9</v>
      </c>
      <c r="D456" s="2" t="s">
        <v>41</v>
      </c>
      <c r="E456" s="2" t="s">
        <v>31</v>
      </c>
      <c r="F456" s="2">
        <v>48</v>
      </c>
      <c r="G456" s="2" t="s">
        <v>56</v>
      </c>
      <c r="H456" s="3" t="s">
        <v>1388</v>
      </c>
      <c r="I456" s="2"/>
      <c r="J456" s="2" t="s">
        <v>8</v>
      </c>
      <c r="K456" s="2">
        <v>115638</v>
      </c>
      <c r="L456" s="2">
        <v>5</v>
      </c>
      <c r="M456" s="2">
        <v>3</v>
      </c>
      <c r="N456" s="2" t="s">
        <v>6</v>
      </c>
      <c r="O456" s="2">
        <v>43</v>
      </c>
      <c r="P456" s="2">
        <f ca="1">ROUND((IF(I456="",TODAY(),I456)-H456)/365,1)</f>
        <v>9.6</v>
      </c>
      <c r="Q456" s="2" t="str">
        <f t="shared" si="7"/>
        <v>Medium</v>
      </c>
    </row>
    <row r="457" spans="1:17" x14ac:dyDescent="0.35">
      <c r="A457" s="2" t="s">
        <v>1389</v>
      </c>
      <c r="B457" s="2" t="s">
        <v>1390</v>
      </c>
      <c r="C457" s="2" t="s">
        <v>11</v>
      </c>
      <c r="D457" s="2" t="s">
        <v>45</v>
      </c>
      <c r="E457" s="2" t="s">
        <v>46</v>
      </c>
      <c r="F457" s="2">
        <v>24</v>
      </c>
      <c r="G457" s="2" t="s">
        <v>32</v>
      </c>
      <c r="H457" s="3" t="s">
        <v>1391</v>
      </c>
      <c r="I457" s="2"/>
      <c r="J457" s="2" t="s">
        <v>8</v>
      </c>
      <c r="K457" s="2">
        <v>132513</v>
      </c>
      <c r="L457" s="2">
        <v>3</v>
      </c>
      <c r="M457" s="2">
        <v>3</v>
      </c>
      <c r="N457" s="2" t="s">
        <v>8</v>
      </c>
      <c r="O457" s="2">
        <v>25</v>
      </c>
      <c r="P457" s="2">
        <f ca="1">ROUND((IF(I457="",TODAY(),I457)-H457)/365,1)</f>
        <v>10.6</v>
      </c>
      <c r="Q457" s="2" t="str">
        <f t="shared" si="7"/>
        <v>Low</v>
      </c>
    </row>
    <row r="458" spans="1:17" x14ac:dyDescent="0.35">
      <c r="A458" s="2" t="s">
        <v>1392</v>
      </c>
      <c r="B458" s="2" t="s">
        <v>1393</v>
      </c>
      <c r="C458" s="2" t="s">
        <v>11</v>
      </c>
      <c r="D458" s="2" t="s">
        <v>45</v>
      </c>
      <c r="E458" s="2" t="s">
        <v>46</v>
      </c>
      <c r="F458" s="2">
        <v>29</v>
      </c>
      <c r="G458" s="2" t="s">
        <v>32</v>
      </c>
      <c r="H458" s="3" t="s">
        <v>1394</v>
      </c>
      <c r="I458" s="2"/>
      <c r="J458" s="2" t="s">
        <v>8</v>
      </c>
      <c r="K458" s="2">
        <v>93766</v>
      </c>
      <c r="L458" s="2">
        <v>5</v>
      </c>
      <c r="M458" s="2">
        <v>3</v>
      </c>
      <c r="N458" s="2" t="s">
        <v>8</v>
      </c>
      <c r="O458" s="2">
        <v>27</v>
      </c>
      <c r="P458" s="2">
        <f ca="1">ROUND((IF(I458="",TODAY(),I458)-H458)/365,1)</f>
        <v>3.8</v>
      </c>
      <c r="Q458" s="2" t="str">
        <f t="shared" si="7"/>
        <v>Low</v>
      </c>
    </row>
    <row r="459" spans="1:17" x14ac:dyDescent="0.35">
      <c r="A459" s="2" t="s">
        <v>1395</v>
      </c>
      <c r="B459" s="2" t="s">
        <v>1396</v>
      </c>
      <c r="C459" s="2" t="s">
        <v>11</v>
      </c>
      <c r="D459" s="2" t="s">
        <v>45</v>
      </c>
      <c r="E459" s="2" t="s">
        <v>31</v>
      </c>
      <c r="F459" s="2">
        <v>27</v>
      </c>
      <c r="G459" s="2" t="s">
        <v>78</v>
      </c>
      <c r="H459" s="3" t="s">
        <v>1397</v>
      </c>
      <c r="I459" s="2"/>
      <c r="J459" s="2" t="s">
        <v>8</v>
      </c>
      <c r="K459" s="2">
        <v>104802</v>
      </c>
      <c r="L459" s="2">
        <v>3</v>
      </c>
      <c r="M459" s="2">
        <v>5</v>
      </c>
      <c r="N459" s="2" t="s">
        <v>8</v>
      </c>
      <c r="O459" s="2">
        <v>28</v>
      </c>
      <c r="P459" s="2">
        <f ca="1">ROUND((IF(I459="",TODAY(),I459)-H459)/365,1)</f>
        <v>6.2</v>
      </c>
      <c r="Q459" s="2" t="str">
        <f t="shared" si="7"/>
        <v>Low</v>
      </c>
    </row>
    <row r="460" spans="1:17" x14ac:dyDescent="0.35">
      <c r="A460" s="2" t="s">
        <v>1398</v>
      </c>
      <c r="B460" s="2" t="s">
        <v>440</v>
      </c>
      <c r="C460" s="2" t="s">
        <v>11</v>
      </c>
      <c r="D460" s="2" t="s">
        <v>98</v>
      </c>
      <c r="E460" s="2" t="s">
        <v>46</v>
      </c>
      <c r="F460" s="2">
        <v>58</v>
      </c>
      <c r="G460" s="2" t="s">
        <v>56</v>
      </c>
      <c r="H460" s="3" t="s">
        <v>1399</v>
      </c>
      <c r="I460" s="2"/>
      <c r="J460" s="2" t="s">
        <v>8</v>
      </c>
      <c r="K460" s="2">
        <v>140823</v>
      </c>
      <c r="L460" s="2">
        <v>4</v>
      </c>
      <c r="M460" s="2">
        <v>4</v>
      </c>
      <c r="N460" s="2" t="s">
        <v>8</v>
      </c>
      <c r="O460" s="2">
        <v>12</v>
      </c>
      <c r="P460" s="2">
        <f ca="1">ROUND((IF(I460="",TODAY(),I460)-H460)/365,1)</f>
        <v>6</v>
      </c>
      <c r="Q460" s="2" t="str">
        <f t="shared" si="7"/>
        <v>Low</v>
      </c>
    </row>
    <row r="461" spans="1:17" x14ac:dyDescent="0.35">
      <c r="A461" s="2" t="s">
        <v>1400</v>
      </c>
      <c r="B461" s="2" t="s">
        <v>818</v>
      </c>
      <c r="C461" s="2" t="s">
        <v>9</v>
      </c>
      <c r="D461" s="2" t="s">
        <v>51</v>
      </c>
      <c r="E461" s="2" t="s">
        <v>31</v>
      </c>
      <c r="F461" s="2">
        <v>51</v>
      </c>
      <c r="G461" s="2" t="s">
        <v>32</v>
      </c>
      <c r="H461" s="3" t="s">
        <v>1245</v>
      </c>
      <c r="I461" s="2"/>
      <c r="J461" s="2" t="s">
        <v>8</v>
      </c>
      <c r="K461" s="2">
        <v>79269</v>
      </c>
      <c r="L461" s="2">
        <v>5</v>
      </c>
      <c r="M461" s="2">
        <v>2</v>
      </c>
      <c r="N461" s="2" t="s">
        <v>8</v>
      </c>
      <c r="O461" s="2">
        <v>27</v>
      </c>
      <c r="P461" s="2">
        <f ca="1">ROUND((IF(I461="",TODAY(),I461)-H461)/365,1)</f>
        <v>4.5999999999999996</v>
      </c>
      <c r="Q461" s="2" t="str">
        <f t="shared" si="7"/>
        <v>Medium</v>
      </c>
    </row>
    <row r="462" spans="1:17" x14ac:dyDescent="0.35">
      <c r="A462" s="2" t="s">
        <v>1401</v>
      </c>
      <c r="B462" s="2" t="s">
        <v>401</v>
      </c>
      <c r="C462" s="2" t="s">
        <v>11</v>
      </c>
      <c r="D462" s="2" t="s">
        <v>98</v>
      </c>
      <c r="E462" s="2" t="s">
        <v>31</v>
      </c>
      <c r="F462" s="2">
        <v>40</v>
      </c>
      <c r="G462" s="2" t="s">
        <v>78</v>
      </c>
      <c r="H462" s="3" t="s">
        <v>1402</v>
      </c>
      <c r="I462" s="2"/>
      <c r="J462" s="2" t="s">
        <v>8</v>
      </c>
      <c r="K462" s="2">
        <v>97088</v>
      </c>
      <c r="L462" s="2">
        <v>3</v>
      </c>
      <c r="M462" s="2">
        <v>3</v>
      </c>
      <c r="N462" s="2" t="s">
        <v>8</v>
      </c>
      <c r="O462" s="2">
        <v>33</v>
      </c>
      <c r="P462" s="2">
        <f ca="1">ROUND((IF(I462="",TODAY(),I462)-H462)/365,1)</f>
        <v>8.8000000000000007</v>
      </c>
      <c r="Q462" s="2" t="str">
        <f t="shared" si="7"/>
        <v>Low</v>
      </c>
    </row>
    <row r="463" spans="1:17" x14ac:dyDescent="0.35">
      <c r="A463" s="2" t="s">
        <v>1403</v>
      </c>
      <c r="B463" s="2" t="s">
        <v>203</v>
      </c>
      <c r="C463" s="2" t="s">
        <v>5</v>
      </c>
      <c r="D463" s="2" t="s">
        <v>102</v>
      </c>
      <c r="E463" s="2" t="s">
        <v>46</v>
      </c>
      <c r="F463" s="2">
        <v>58</v>
      </c>
      <c r="G463" s="2" t="s">
        <v>78</v>
      </c>
      <c r="H463" s="3" t="s">
        <v>1404</v>
      </c>
      <c r="I463" s="2"/>
      <c r="J463" s="2" t="s">
        <v>8</v>
      </c>
      <c r="K463" s="2">
        <v>134291</v>
      </c>
      <c r="L463" s="2">
        <v>2</v>
      </c>
      <c r="M463" s="2">
        <v>2</v>
      </c>
      <c r="N463" s="2" t="s">
        <v>8</v>
      </c>
      <c r="O463" s="2">
        <v>22</v>
      </c>
      <c r="P463" s="2">
        <f ca="1">ROUND((IF(I463="",TODAY(),I463)-H463)/365,1)</f>
        <v>4.7</v>
      </c>
      <c r="Q463" s="2" t="str">
        <f t="shared" si="7"/>
        <v>Medium</v>
      </c>
    </row>
    <row r="464" spans="1:17" x14ac:dyDescent="0.35">
      <c r="A464" s="2" t="s">
        <v>1405</v>
      </c>
      <c r="B464" s="2" t="s">
        <v>1323</v>
      </c>
      <c r="C464" s="2" t="s">
        <v>10</v>
      </c>
      <c r="D464" s="2" t="s">
        <v>258</v>
      </c>
      <c r="E464" s="2" t="s">
        <v>31</v>
      </c>
      <c r="F464" s="2">
        <v>31</v>
      </c>
      <c r="G464" s="2" t="s">
        <v>78</v>
      </c>
      <c r="H464" s="3" t="s">
        <v>1406</v>
      </c>
      <c r="I464" s="2"/>
      <c r="J464" s="2" t="s">
        <v>8</v>
      </c>
      <c r="K464" s="2">
        <v>127759</v>
      </c>
      <c r="L464" s="2">
        <v>3</v>
      </c>
      <c r="M464" s="2">
        <v>5</v>
      </c>
      <c r="N464" s="2" t="s">
        <v>8</v>
      </c>
      <c r="O464" s="2">
        <v>30</v>
      </c>
      <c r="P464" s="2">
        <f ca="1">ROUND((IF(I464="",TODAY(),I464)-H464)/365,1)</f>
        <v>4.5999999999999996</v>
      </c>
      <c r="Q464" s="2" t="str">
        <f t="shared" si="7"/>
        <v>Low</v>
      </c>
    </row>
    <row r="465" spans="1:17" x14ac:dyDescent="0.35">
      <c r="A465" s="2" t="s">
        <v>1407</v>
      </c>
      <c r="B465" s="2" t="s">
        <v>1408</v>
      </c>
      <c r="C465" s="2" t="s">
        <v>5</v>
      </c>
      <c r="D465" s="2" t="s">
        <v>102</v>
      </c>
      <c r="E465" s="2" t="s">
        <v>46</v>
      </c>
      <c r="F465" s="2">
        <v>57</v>
      </c>
      <c r="G465" s="2" t="s">
        <v>32</v>
      </c>
      <c r="H465" s="3" t="s">
        <v>1409</v>
      </c>
      <c r="I465" s="3" t="s">
        <v>1410</v>
      </c>
      <c r="J465" s="2" t="s">
        <v>6</v>
      </c>
      <c r="K465" s="2">
        <v>33678</v>
      </c>
      <c r="L465" s="2">
        <v>3</v>
      </c>
      <c r="M465" s="2">
        <v>5</v>
      </c>
      <c r="N465" s="2" t="s">
        <v>6</v>
      </c>
      <c r="O465" s="2">
        <v>23</v>
      </c>
      <c r="P465" s="2">
        <f ca="1">ROUND((IF(I465="",TODAY(),I465)-H465)/365,1)</f>
        <v>0.3</v>
      </c>
      <c r="Q465" s="2" t="str">
        <f t="shared" si="7"/>
        <v>N/A</v>
      </c>
    </row>
    <row r="466" spans="1:17" x14ac:dyDescent="0.35">
      <c r="A466" s="2" t="s">
        <v>1411</v>
      </c>
      <c r="B466" s="2" t="s">
        <v>1412</v>
      </c>
      <c r="C466" s="2" t="s">
        <v>9</v>
      </c>
      <c r="D466" s="2" t="s">
        <v>41</v>
      </c>
      <c r="E466" s="2" t="s">
        <v>31</v>
      </c>
      <c r="F466" s="2">
        <v>46</v>
      </c>
      <c r="G466" s="2" t="s">
        <v>78</v>
      </c>
      <c r="H466" s="3" t="s">
        <v>1413</v>
      </c>
      <c r="I466" s="3" t="s">
        <v>1414</v>
      </c>
      <c r="J466" s="2" t="s">
        <v>6</v>
      </c>
      <c r="K466" s="2">
        <v>60585</v>
      </c>
      <c r="L466" s="2">
        <v>3</v>
      </c>
      <c r="M466" s="2">
        <v>3</v>
      </c>
      <c r="N466" s="2" t="s">
        <v>8</v>
      </c>
      <c r="O466" s="2">
        <v>3</v>
      </c>
      <c r="P466" s="2">
        <f ca="1">ROUND((IF(I466="",TODAY(),I466)-H466)/365,1)</f>
        <v>2.8</v>
      </c>
      <c r="Q466" s="2" t="str">
        <f t="shared" si="7"/>
        <v>N/A</v>
      </c>
    </row>
    <row r="467" spans="1:17" x14ac:dyDescent="0.35">
      <c r="A467" s="2" t="s">
        <v>1415</v>
      </c>
      <c r="B467" s="2" t="s">
        <v>398</v>
      </c>
      <c r="C467" s="2" t="s">
        <v>9</v>
      </c>
      <c r="D467" s="2" t="s">
        <v>41</v>
      </c>
      <c r="E467" s="2" t="s">
        <v>46</v>
      </c>
      <c r="F467" s="2">
        <v>41</v>
      </c>
      <c r="G467" s="2" t="s">
        <v>56</v>
      </c>
      <c r="H467" s="3" t="s">
        <v>1416</v>
      </c>
      <c r="I467" s="3" t="s">
        <v>1417</v>
      </c>
      <c r="J467" s="2" t="s">
        <v>6</v>
      </c>
      <c r="K467" s="2">
        <v>83166</v>
      </c>
      <c r="L467" s="2">
        <v>2</v>
      </c>
      <c r="M467" s="2">
        <v>1</v>
      </c>
      <c r="N467" s="2" t="s">
        <v>6</v>
      </c>
      <c r="O467" s="2">
        <v>6</v>
      </c>
      <c r="P467" s="2">
        <f ca="1">ROUND((IF(I467="",TODAY(),I467)-H467)/365,1)</f>
        <v>5.6</v>
      </c>
      <c r="Q467" s="2" t="str">
        <f t="shared" si="7"/>
        <v>N/A</v>
      </c>
    </row>
    <row r="468" spans="1:17" x14ac:dyDescent="0.35">
      <c r="A468" s="2" t="s">
        <v>1418</v>
      </c>
      <c r="B468" s="2" t="s">
        <v>1338</v>
      </c>
      <c r="C468" s="2" t="s">
        <v>11</v>
      </c>
      <c r="D468" s="2" t="s">
        <v>45</v>
      </c>
      <c r="E468" s="2" t="s">
        <v>31</v>
      </c>
      <c r="F468" s="2">
        <v>55</v>
      </c>
      <c r="G468" s="2" t="s">
        <v>32</v>
      </c>
      <c r="H468" s="3" t="s">
        <v>424</v>
      </c>
      <c r="I468" s="3" t="s">
        <v>1419</v>
      </c>
      <c r="J468" s="2" t="s">
        <v>6</v>
      </c>
      <c r="K468" s="2">
        <v>113698</v>
      </c>
      <c r="L468" s="2">
        <v>1</v>
      </c>
      <c r="M468" s="2">
        <v>2</v>
      </c>
      <c r="N468" s="2" t="s">
        <v>8</v>
      </c>
      <c r="O468" s="2">
        <v>34</v>
      </c>
      <c r="P468" s="2">
        <f ca="1">ROUND((IF(I468="",TODAY(),I468)-H468)/365,1)</f>
        <v>0.6</v>
      </c>
      <c r="Q468" s="2" t="str">
        <f t="shared" si="7"/>
        <v>N/A</v>
      </c>
    </row>
    <row r="469" spans="1:17" x14ac:dyDescent="0.35">
      <c r="A469" s="2" t="s">
        <v>1420</v>
      </c>
      <c r="B469" s="2" t="s">
        <v>1421</v>
      </c>
      <c r="C469" s="2" t="s">
        <v>10</v>
      </c>
      <c r="D469" s="2" t="s">
        <v>258</v>
      </c>
      <c r="E469" s="2" t="s">
        <v>31</v>
      </c>
      <c r="F469" s="2">
        <v>24</v>
      </c>
      <c r="G469" s="2" t="s">
        <v>32</v>
      </c>
      <c r="H469" s="3" t="s">
        <v>1422</v>
      </c>
      <c r="I469" s="3" t="s">
        <v>1423</v>
      </c>
      <c r="J469" s="2" t="s">
        <v>6</v>
      </c>
      <c r="K469" s="2">
        <v>141547</v>
      </c>
      <c r="L469" s="2">
        <v>3</v>
      </c>
      <c r="M469" s="2">
        <v>1</v>
      </c>
      <c r="N469" s="2" t="s">
        <v>8</v>
      </c>
      <c r="O469" s="2">
        <v>30</v>
      </c>
      <c r="P469" s="2">
        <f ca="1">ROUND((IF(I469="",TODAY(),I469)-H469)/365,1)</f>
        <v>3.9</v>
      </c>
      <c r="Q469" s="2" t="str">
        <f t="shared" si="7"/>
        <v>N/A</v>
      </c>
    </row>
    <row r="470" spans="1:17" x14ac:dyDescent="0.35">
      <c r="A470" s="2" t="s">
        <v>1424</v>
      </c>
      <c r="B470" s="2" t="s">
        <v>1425</v>
      </c>
      <c r="C470" s="2" t="s">
        <v>12</v>
      </c>
      <c r="D470" s="2" t="s">
        <v>133</v>
      </c>
      <c r="E470" s="2" t="s">
        <v>31</v>
      </c>
      <c r="F470" s="2">
        <v>35</v>
      </c>
      <c r="G470" s="2" t="s">
        <v>78</v>
      </c>
      <c r="H470" s="3" t="s">
        <v>1426</v>
      </c>
      <c r="I470" s="2"/>
      <c r="J470" s="2" t="s">
        <v>8</v>
      </c>
      <c r="K470" s="2">
        <v>66831</v>
      </c>
      <c r="L470" s="2">
        <v>3</v>
      </c>
      <c r="M470" s="2">
        <v>3</v>
      </c>
      <c r="N470" s="2" t="s">
        <v>6</v>
      </c>
      <c r="O470" s="2">
        <v>35</v>
      </c>
      <c r="P470" s="2">
        <f ca="1">ROUND((IF(I470="",TODAY(),I470)-H470)/365,1)</f>
        <v>8</v>
      </c>
      <c r="Q470" s="2" t="str">
        <f t="shared" si="7"/>
        <v>Medium</v>
      </c>
    </row>
    <row r="471" spans="1:17" x14ac:dyDescent="0.35">
      <c r="A471" s="2" t="s">
        <v>1427</v>
      </c>
      <c r="B471" s="2" t="s">
        <v>1428</v>
      </c>
      <c r="C471" s="2" t="s">
        <v>9</v>
      </c>
      <c r="D471" s="2" t="s">
        <v>51</v>
      </c>
      <c r="E471" s="2" t="s">
        <v>31</v>
      </c>
      <c r="F471" s="2">
        <v>22</v>
      </c>
      <c r="G471" s="2" t="s">
        <v>56</v>
      </c>
      <c r="H471" s="3" t="s">
        <v>1429</v>
      </c>
      <c r="I471" s="3" t="s">
        <v>1430</v>
      </c>
      <c r="J471" s="2" t="s">
        <v>6</v>
      </c>
      <c r="K471" s="2">
        <v>70916</v>
      </c>
      <c r="L471" s="2">
        <v>2</v>
      </c>
      <c r="M471" s="2">
        <v>1</v>
      </c>
      <c r="N471" s="2" t="s">
        <v>8</v>
      </c>
      <c r="O471" s="2">
        <v>35</v>
      </c>
      <c r="P471" s="2">
        <f ca="1">ROUND((IF(I471="",TODAY(),I471)-H471)/365,1)</f>
        <v>1</v>
      </c>
      <c r="Q471" s="2" t="str">
        <f t="shared" si="7"/>
        <v>N/A</v>
      </c>
    </row>
    <row r="472" spans="1:17" x14ac:dyDescent="0.35">
      <c r="A472" s="2" t="s">
        <v>1431</v>
      </c>
      <c r="B472" s="2" t="s">
        <v>1432</v>
      </c>
      <c r="C472" s="2" t="s">
        <v>12</v>
      </c>
      <c r="D472" s="2" t="s">
        <v>133</v>
      </c>
      <c r="E472" s="2" t="s">
        <v>31</v>
      </c>
      <c r="F472" s="2">
        <v>41</v>
      </c>
      <c r="G472" s="2" t="s">
        <v>32</v>
      </c>
      <c r="H472" s="3" t="s">
        <v>1433</v>
      </c>
      <c r="I472" s="2"/>
      <c r="J472" s="2" t="s">
        <v>8</v>
      </c>
      <c r="K472" s="2">
        <v>42049</v>
      </c>
      <c r="L472" s="2">
        <v>4</v>
      </c>
      <c r="M472" s="2">
        <v>5</v>
      </c>
      <c r="N472" s="2" t="s">
        <v>8</v>
      </c>
      <c r="O472" s="2">
        <v>4</v>
      </c>
      <c r="P472" s="2">
        <f ca="1">ROUND((IF(I472="",TODAY(),I472)-H472)/365,1)</f>
        <v>4.7</v>
      </c>
      <c r="Q472" s="2" t="str">
        <f t="shared" si="7"/>
        <v>Low</v>
      </c>
    </row>
    <row r="473" spans="1:17" x14ac:dyDescent="0.35">
      <c r="A473" s="2" t="s">
        <v>1434</v>
      </c>
      <c r="B473" s="2" t="s">
        <v>551</v>
      </c>
      <c r="C473" s="2" t="s">
        <v>12</v>
      </c>
      <c r="D473" s="2" t="s">
        <v>30</v>
      </c>
      <c r="E473" s="2" t="s">
        <v>31</v>
      </c>
      <c r="F473" s="2">
        <v>27</v>
      </c>
      <c r="G473" s="2" t="s">
        <v>56</v>
      </c>
      <c r="H473" s="3" t="s">
        <v>1435</v>
      </c>
      <c r="I473" s="2"/>
      <c r="J473" s="2" t="s">
        <v>8</v>
      </c>
      <c r="K473" s="2">
        <v>134599</v>
      </c>
      <c r="L473" s="2">
        <v>5</v>
      </c>
      <c r="M473" s="2">
        <v>5</v>
      </c>
      <c r="N473" s="2" t="s">
        <v>8</v>
      </c>
      <c r="O473" s="2">
        <v>41</v>
      </c>
      <c r="P473" s="2">
        <f ca="1">ROUND((IF(I473="",TODAY(),I473)-H473)/365,1)</f>
        <v>6.8</v>
      </c>
      <c r="Q473" s="2" t="str">
        <f t="shared" si="7"/>
        <v>Low</v>
      </c>
    </row>
    <row r="474" spans="1:17" x14ac:dyDescent="0.35">
      <c r="A474" s="2" t="s">
        <v>1436</v>
      </c>
      <c r="B474" s="2" t="s">
        <v>1437</v>
      </c>
      <c r="C474" s="2" t="s">
        <v>11</v>
      </c>
      <c r="D474" s="2" t="s">
        <v>66</v>
      </c>
      <c r="E474" s="2" t="s">
        <v>46</v>
      </c>
      <c r="F474" s="2">
        <v>56</v>
      </c>
      <c r="G474" s="2" t="s">
        <v>56</v>
      </c>
      <c r="H474" s="3" t="s">
        <v>1438</v>
      </c>
      <c r="I474" s="2"/>
      <c r="J474" s="2" t="s">
        <v>8</v>
      </c>
      <c r="K474" s="2">
        <v>37178</v>
      </c>
      <c r="L474" s="2">
        <v>5</v>
      </c>
      <c r="M474" s="2">
        <v>4</v>
      </c>
      <c r="N474" s="2" t="s">
        <v>8</v>
      </c>
      <c r="O474" s="2">
        <v>9</v>
      </c>
      <c r="P474" s="2">
        <f ca="1">ROUND((IF(I474="",TODAY(),I474)-H474)/365,1)</f>
        <v>10.7</v>
      </c>
      <c r="Q474" s="2" t="str">
        <f t="shared" si="7"/>
        <v>Low</v>
      </c>
    </row>
    <row r="475" spans="1:17" x14ac:dyDescent="0.35">
      <c r="A475" s="2" t="s">
        <v>1439</v>
      </c>
      <c r="B475" s="2" t="s">
        <v>1440</v>
      </c>
      <c r="C475" s="2" t="s">
        <v>10</v>
      </c>
      <c r="D475" s="2" t="s">
        <v>258</v>
      </c>
      <c r="E475" s="2" t="s">
        <v>46</v>
      </c>
      <c r="F475" s="2">
        <v>36</v>
      </c>
      <c r="G475" s="2" t="s">
        <v>32</v>
      </c>
      <c r="H475" s="3" t="s">
        <v>1441</v>
      </c>
      <c r="I475" s="2"/>
      <c r="J475" s="2" t="s">
        <v>8</v>
      </c>
      <c r="K475" s="2">
        <v>76390</v>
      </c>
      <c r="L475" s="2">
        <v>3</v>
      </c>
      <c r="M475" s="2">
        <v>5</v>
      </c>
      <c r="N475" s="2" t="s">
        <v>8</v>
      </c>
      <c r="O475" s="2">
        <v>24</v>
      </c>
      <c r="P475" s="2">
        <f ca="1">ROUND((IF(I475="",TODAY(),I475)-H475)/365,1)</f>
        <v>10</v>
      </c>
      <c r="Q475" s="2" t="str">
        <f t="shared" si="7"/>
        <v>Low</v>
      </c>
    </row>
    <row r="476" spans="1:17" x14ac:dyDescent="0.35">
      <c r="A476" s="2" t="s">
        <v>1442</v>
      </c>
      <c r="B476" s="2" t="s">
        <v>1443</v>
      </c>
      <c r="C476" s="2" t="s">
        <v>12</v>
      </c>
      <c r="D476" s="2" t="s">
        <v>133</v>
      </c>
      <c r="E476" s="2" t="s">
        <v>46</v>
      </c>
      <c r="F476" s="2">
        <v>23</v>
      </c>
      <c r="G476" s="2" t="s">
        <v>32</v>
      </c>
      <c r="H476" s="3" t="s">
        <v>1444</v>
      </c>
      <c r="I476" s="2"/>
      <c r="J476" s="2" t="s">
        <v>8</v>
      </c>
      <c r="K476" s="2">
        <v>135856</v>
      </c>
      <c r="L476" s="2">
        <v>4</v>
      </c>
      <c r="M476" s="2">
        <v>3</v>
      </c>
      <c r="N476" s="2" t="s">
        <v>8</v>
      </c>
      <c r="O476" s="2">
        <v>30</v>
      </c>
      <c r="P476" s="2">
        <f ca="1">ROUND((IF(I476="",TODAY(),I476)-H476)/365,1)</f>
        <v>10.9</v>
      </c>
      <c r="Q476" s="2" t="str">
        <f t="shared" si="7"/>
        <v>Low</v>
      </c>
    </row>
    <row r="477" spans="1:17" x14ac:dyDescent="0.35">
      <c r="A477" s="2" t="s">
        <v>1445</v>
      </c>
      <c r="B477" s="2" t="s">
        <v>1294</v>
      </c>
      <c r="C477" s="2" t="s">
        <v>9</v>
      </c>
      <c r="D477" s="2" t="s">
        <v>77</v>
      </c>
      <c r="E477" s="2" t="s">
        <v>31</v>
      </c>
      <c r="F477" s="2">
        <v>47</v>
      </c>
      <c r="G477" s="2" t="s">
        <v>32</v>
      </c>
      <c r="H477" s="3" t="s">
        <v>1446</v>
      </c>
      <c r="I477" s="2"/>
      <c r="J477" s="2" t="s">
        <v>8</v>
      </c>
      <c r="K477" s="2">
        <v>110124</v>
      </c>
      <c r="L477" s="2">
        <v>3</v>
      </c>
      <c r="M477" s="2">
        <v>1</v>
      </c>
      <c r="N477" s="2" t="s">
        <v>8</v>
      </c>
      <c r="O477" s="2">
        <v>36</v>
      </c>
      <c r="P477" s="2">
        <f ca="1">ROUND((IF(I477="",TODAY(),I477)-H477)/365,1)</f>
        <v>2.4</v>
      </c>
      <c r="Q477" s="2" t="str">
        <f t="shared" si="7"/>
        <v>Medium</v>
      </c>
    </row>
    <row r="478" spans="1:17" x14ac:dyDescent="0.35">
      <c r="A478" s="2" t="s">
        <v>1447</v>
      </c>
      <c r="B478" s="2" t="s">
        <v>408</v>
      </c>
      <c r="C478" s="2" t="s">
        <v>11</v>
      </c>
      <c r="D478" s="2" t="s">
        <v>66</v>
      </c>
      <c r="E478" s="2" t="s">
        <v>46</v>
      </c>
      <c r="F478" s="2">
        <v>37</v>
      </c>
      <c r="G478" s="2" t="s">
        <v>78</v>
      </c>
      <c r="H478" s="3" t="s">
        <v>1448</v>
      </c>
      <c r="I478" s="3" t="s">
        <v>1449</v>
      </c>
      <c r="J478" s="2" t="s">
        <v>6</v>
      </c>
      <c r="K478" s="2">
        <v>33658</v>
      </c>
      <c r="L478" s="2">
        <v>4</v>
      </c>
      <c r="M478" s="2">
        <v>2</v>
      </c>
      <c r="N478" s="2" t="s">
        <v>6</v>
      </c>
      <c r="O478" s="2">
        <v>25</v>
      </c>
      <c r="P478" s="2">
        <f ca="1">ROUND((IF(I478="",TODAY(),I478)-H478)/365,1)</f>
        <v>4.0999999999999996</v>
      </c>
      <c r="Q478" s="2" t="str">
        <f t="shared" si="7"/>
        <v>N/A</v>
      </c>
    </row>
    <row r="479" spans="1:17" x14ac:dyDescent="0.35">
      <c r="A479" s="2" t="s">
        <v>1450</v>
      </c>
      <c r="B479" s="2" t="s">
        <v>1408</v>
      </c>
      <c r="C479" s="2" t="s">
        <v>11</v>
      </c>
      <c r="D479" s="2" t="s">
        <v>66</v>
      </c>
      <c r="E479" s="2" t="s">
        <v>46</v>
      </c>
      <c r="F479" s="2">
        <v>56</v>
      </c>
      <c r="G479" s="2" t="s">
        <v>56</v>
      </c>
      <c r="H479" s="3" t="s">
        <v>1451</v>
      </c>
      <c r="I479" s="2"/>
      <c r="J479" s="2" t="s">
        <v>8</v>
      </c>
      <c r="K479" s="2">
        <v>39984</v>
      </c>
      <c r="L479" s="2">
        <v>5</v>
      </c>
      <c r="M479" s="2">
        <v>1</v>
      </c>
      <c r="N479" s="2" t="s">
        <v>6</v>
      </c>
      <c r="O479" s="2">
        <v>32</v>
      </c>
      <c r="P479" s="2">
        <f ca="1">ROUND((IF(I479="",TODAY(),I479)-H479)/365,1)</f>
        <v>3.8</v>
      </c>
      <c r="Q479" s="2" t="str">
        <f t="shared" si="7"/>
        <v>High</v>
      </c>
    </row>
    <row r="480" spans="1:17" x14ac:dyDescent="0.35">
      <c r="A480" s="2" t="s">
        <v>1452</v>
      </c>
      <c r="B480" s="2" t="s">
        <v>1453</v>
      </c>
      <c r="C480" s="2" t="s">
        <v>9</v>
      </c>
      <c r="D480" s="2" t="s">
        <v>77</v>
      </c>
      <c r="E480" s="2" t="s">
        <v>31</v>
      </c>
      <c r="F480" s="2">
        <v>41</v>
      </c>
      <c r="G480" s="2" t="s">
        <v>78</v>
      </c>
      <c r="H480" s="3" t="s">
        <v>1454</v>
      </c>
      <c r="I480" s="2"/>
      <c r="J480" s="2" t="s">
        <v>8</v>
      </c>
      <c r="K480" s="2">
        <v>67914</v>
      </c>
      <c r="L480" s="2">
        <v>5</v>
      </c>
      <c r="M480" s="2">
        <v>1</v>
      </c>
      <c r="N480" s="2" t="s">
        <v>6</v>
      </c>
      <c r="O480" s="2">
        <v>25</v>
      </c>
      <c r="P480" s="2">
        <f ca="1">ROUND((IF(I480="",TODAY(),I480)-H480)/365,1)</f>
        <v>7.1</v>
      </c>
      <c r="Q480" s="2" t="str">
        <f t="shared" si="7"/>
        <v>High</v>
      </c>
    </row>
    <row r="481" spans="1:17" x14ac:dyDescent="0.35">
      <c r="A481" s="2" t="s">
        <v>1455</v>
      </c>
      <c r="B481" s="2" t="s">
        <v>1456</v>
      </c>
      <c r="C481" s="2" t="s">
        <v>5</v>
      </c>
      <c r="D481" s="2" t="s">
        <v>94</v>
      </c>
      <c r="E481" s="2" t="s">
        <v>31</v>
      </c>
      <c r="F481" s="2">
        <v>22</v>
      </c>
      <c r="G481" s="2" t="s">
        <v>78</v>
      </c>
      <c r="H481" s="3" t="s">
        <v>1457</v>
      </c>
      <c r="I481" s="2"/>
      <c r="J481" s="2" t="s">
        <v>8</v>
      </c>
      <c r="K481" s="2">
        <v>63207</v>
      </c>
      <c r="L481" s="2">
        <v>4</v>
      </c>
      <c r="M481" s="2">
        <v>2</v>
      </c>
      <c r="N481" s="2" t="s">
        <v>6</v>
      </c>
      <c r="O481" s="2">
        <v>35</v>
      </c>
      <c r="P481" s="2">
        <f ca="1">ROUND((IF(I481="",TODAY(),I481)-H481)/365,1)</f>
        <v>3.1</v>
      </c>
      <c r="Q481" s="2" t="str">
        <f t="shared" si="7"/>
        <v>High</v>
      </c>
    </row>
    <row r="482" spans="1:17" x14ac:dyDescent="0.35">
      <c r="A482" s="2" t="s">
        <v>1458</v>
      </c>
      <c r="B482" s="2" t="s">
        <v>599</v>
      </c>
      <c r="C482" s="2" t="s">
        <v>10</v>
      </c>
      <c r="D482" s="2" t="s">
        <v>111</v>
      </c>
      <c r="E482" s="2" t="s">
        <v>31</v>
      </c>
      <c r="F482" s="2">
        <v>58</v>
      </c>
      <c r="G482" s="2" t="s">
        <v>56</v>
      </c>
      <c r="H482" s="3" t="s">
        <v>1091</v>
      </c>
      <c r="I482" s="3" t="s">
        <v>1459</v>
      </c>
      <c r="J482" s="2" t="s">
        <v>6</v>
      </c>
      <c r="K482" s="2">
        <v>36703</v>
      </c>
      <c r="L482" s="2">
        <v>4</v>
      </c>
      <c r="M482" s="2">
        <v>3</v>
      </c>
      <c r="N482" s="2" t="s">
        <v>8</v>
      </c>
      <c r="O482" s="2">
        <v>23</v>
      </c>
      <c r="P482" s="2">
        <f ca="1">ROUND((IF(I482="",TODAY(),I482)-H482)/365,1)</f>
        <v>1.6</v>
      </c>
      <c r="Q482" s="2" t="str">
        <f t="shared" si="7"/>
        <v>N/A</v>
      </c>
    </row>
    <row r="483" spans="1:17" x14ac:dyDescent="0.35">
      <c r="A483" s="2" t="s">
        <v>1460</v>
      </c>
      <c r="B483" s="2" t="s">
        <v>1461</v>
      </c>
      <c r="C483" s="2" t="s">
        <v>10</v>
      </c>
      <c r="D483" s="2" t="s">
        <v>111</v>
      </c>
      <c r="E483" s="2" t="s">
        <v>46</v>
      </c>
      <c r="F483" s="2">
        <v>57</v>
      </c>
      <c r="G483" s="2" t="s">
        <v>78</v>
      </c>
      <c r="H483" s="3" t="s">
        <v>1462</v>
      </c>
      <c r="I483" s="2"/>
      <c r="J483" s="2" t="s">
        <v>8</v>
      </c>
      <c r="K483" s="2">
        <v>137885</v>
      </c>
      <c r="L483" s="2">
        <v>3</v>
      </c>
      <c r="M483" s="2">
        <v>5</v>
      </c>
      <c r="N483" s="2" t="s">
        <v>6</v>
      </c>
      <c r="O483" s="2">
        <v>8</v>
      </c>
      <c r="P483" s="2">
        <f ca="1">ROUND((IF(I483="",TODAY(),I483)-H483)/365,1)</f>
        <v>11</v>
      </c>
      <c r="Q483" s="2" t="str">
        <f t="shared" si="7"/>
        <v>Medium</v>
      </c>
    </row>
    <row r="484" spans="1:17" x14ac:dyDescent="0.35">
      <c r="A484" s="2" t="s">
        <v>1463</v>
      </c>
      <c r="B484" s="2" t="s">
        <v>203</v>
      </c>
      <c r="C484" s="2" t="s">
        <v>7</v>
      </c>
      <c r="D484" s="2" t="s">
        <v>125</v>
      </c>
      <c r="E484" s="2" t="s">
        <v>46</v>
      </c>
      <c r="F484" s="2">
        <v>47</v>
      </c>
      <c r="G484" s="2" t="s">
        <v>32</v>
      </c>
      <c r="H484" s="3" t="s">
        <v>1464</v>
      </c>
      <c r="I484" s="2"/>
      <c r="J484" s="2" t="s">
        <v>8</v>
      </c>
      <c r="K484" s="2">
        <v>43228</v>
      </c>
      <c r="L484" s="2">
        <v>2</v>
      </c>
      <c r="M484" s="2">
        <v>2</v>
      </c>
      <c r="N484" s="2" t="s">
        <v>8</v>
      </c>
      <c r="O484" s="2">
        <v>31</v>
      </c>
      <c r="P484" s="2">
        <f ca="1">ROUND((IF(I484="",TODAY(),I484)-H484)/365,1)</f>
        <v>7.3</v>
      </c>
      <c r="Q484" s="2" t="str">
        <f t="shared" si="7"/>
        <v>Medium</v>
      </c>
    </row>
    <row r="485" spans="1:17" x14ac:dyDescent="0.35">
      <c r="A485" s="2" t="s">
        <v>1465</v>
      </c>
      <c r="B485" s="2" t="s">
        <v>1466</v>
      </c>
      <c r="C485" s="2" t="s">
        <v>9</v>
      </c>
      <c r="D485" s="2" t="s">
        <v>41</v>
      </c>
      <c r="E485" s="2" t="s">
        <v>31</v>
      </c>
      <c r="F485" s="2">
        <v>30</v>
      </c>
      <c r="G485" s="2" t="s">
        <v>78</v>
      </c>
      <c r="H485" s="3" t="s">
        <v>1030</v>
      </c>
      <c r="I485" s="2"/>
      <c r="J485" s="2" t="s">
        <v>8</v>
      </c>
      <c r="K485" s="2">
        <v>111235</v>
      </c>
      <c r="L485" s="2">
        <v>2</v>
      </c>
      <c r="M485" s="2">
        <v>1</v>
      </c>
      <c r="N485" s="2" t="s">
        <v>6</v>
      </c>
      <c r="O485" s="2">
        <v>32</v>
      </c>
      <c r="P485" s="2">
        <f ca="1">ROUND((IF(I485="",TODAY(),I485)-H485)/365,1)</f>
        <v>11.5</v>
      </c>
      <c r="Q485" s="2" t="str">
        <f t="shared" si="7"/>
        <v>High</v>
      </c>
    </row>
    <row r="486" spans="1:17" x14ac:dyDescent="0.35">
      <c r="A486" s="2" t="s">
        <v>1467</v>
      </c>
      <c r="B486" s="2" t="s">
        <v>374</v>
      </c>
      <c r="C486" s="2" t="s">
        <v>7</v>
      </c>
      <c r="D486" s="2" t="s">
        <v>155</v>
      </c>
      <c r="E486" s="2" t="s">
        <v>31</v>
      </c>
      <c r="F486" s="2">
        <v>49</v>
      </c>
      <c r="G486" s="2" t="s">
        <v>78</v>
      </c>
      <c r="H486" s="3" t="s">
        <v>998</v>
      </c>
      <c r="I486" s="2"/>
      <c r="J486" s="2" t="s">
        <v>8</v>
      </c>
      <c r="K486" s="2">
        <v>132488</v>
      </c>
      <c r="L486" s="2">
        <v>4</v>
      </c>
      <c r="M486" s="2">
        <v>5</v>
      </c>
      <c r="N486" s="2" t="s">
        <v>6</v>
      </c>
      <c r="O486" s="2">
        <v>36</v>
      </c>
      <c r="P486" s="2">
        <f ca="1">ROUND((IF(I486="",TODAY(),I486)-H486)/365,1)</f>
        <v>4.5999999999999996</v>
      </c>
      <c r="Q486" s="2" t="str">
        <f t="shared" si="7"/>
        <v>Medium</v>
      </c>
    </row>
    <row r="487" spans="1:17" x14ac:dyDescent="0.35">
      <c r="A487" s="2" t="s">
        <v>1468</v>
      </c>
      <c r="B487" s="2" t="s">
        <v>634</v>
      </c>
      <c r="C487" s="2" t="s">
        <v>7</v>
      </c>
      <c r="D487" s="2" t="s">
        <v>155</v>
      </c>
      <c r="E487" s="2" t="s">
        <v>46</v>
      </c>
      <c r="F487" s="2">
        <v>58</v>
      </c>
      <c r="G487" s="2" t="s">
        <v>56</v>
      </c>
      <c r="H487" s="3" t="s">
        <v>1469</v>
      </c>
      <c r="I487" s="2"/>
      <c r="J487" s="2" t="s">
        <v>8</v>
      </c>
      <c r="K487" s="2">
        <v>78849</v>
      </c>
      <c r="L487" s="2">
        <v>5</v>
      </c>
      <c r="M487" s="2">
        <v>2</v>
      </c>
      <c r="N487" s="2" t="s">
        <v>8</v>
      </c>
      <c r="O487" s="2">
        <v>18</v>
      </c>
      <c r="P487" s="2">
        <f ca="1">ROUND((IF(I487="",TODAY(),I487)-H487)/365,1)</f>
        <v>6</v>
      </c>
      <c r="Q487" s="2" t="str">
        <f t="shared" si="7"/>
        <v>Medium</v>
      </c>
    </row>
    <row r="488" spans="1:17" x14ac:dyDescent="0.35">
      <c r="A488" s="2" t="s">
        <v>1470</v>
      </c>
      <c r="B488" s="2" t="s">
        <v>339</v>
      </c>
      <c r="C488" s="2" t="s">
        <v>5</v>
      </c>
      <c r="D488" s="2" t="s">
        <v>94</v>
      </c>
      <c r="E488" s="2" t="s">
        <v>46</v>
      </c>
      <c r="F488" s="2">
        <v>52</v>
      </c>
      <c r="G488" s="2" t="s">
        <v>32</v>
      </c>
      <c r="H488" s="3" t="s">
        <v>937</v>
      </c>
      <c r="I488" s="2"/>
      <c r="J488" s="2" t="s">
        <v>8</v>
      </c>
      <c r="K488" s="2">
        <v>92757</v>
      </c>
      <c r="L488" s="2">
        <v>3</v>
      </c>
      <c r="M488" s="2">
        <v>5</v>
      </c>
      <c r="N488" s="2" t="s">
        <v>6</v>
      </c>
      <c r="O488" s="2">
        <v>30</v>
      </c>
      <c r="P488" s="2">
        <f ca="1">ROUND((IF(I488="",TODAY(),I488)-H488)/365,1)</f>
        <v>3.9</v>
      </c>
      <c r="Q488" s="2" t="str">
        <f t="shared" si="7"/>
        <v>Medium</v>
      </c>
    </row>
    <row r="489" spans="1:17" x14ac:dyDescent="0.35">
      <c r="A489" s="2" t="s">
        <v>1471</v>
      </c>
      <c r="B489" s="2" t="s">
        <v>1472</v>
      </c>
      <c r="C489" s="2" t="s">
        <v>11</v>
      </c>
      <c r="D489" s="2" t="s">
        <v>45</v>
      </c>
      <c r="E489" s="2" t="s">
        <v>31</v>
      </c>
      <c r="F489" s="2">
        <v>56</v>
      </c>
      <c r="G489" s="2" t="s">
        <v>32</v>
      </c>
      <c r="H489" s="3" t="s">
        <v>1473</v>
      </c>
      <c r="I489" s="2"/>
      <c r="J489" s="2" t="s">
        <v>8</v>
      </c>
      <c r="K489" s="2">
        <v>95127</v>
      </c>
      <c r="L489" s="2">
        <v>1</v>
      </c>
      <c r="M489" s="2">
        <v>5</v>
      </c>
      <c r="N489" s="2" t="s">
        <v>8</v>
      </c>
      <c r="O489" s="2">
        <v>22</v>
      </c>
      <c r="P489" s="2">
        <f ca="1">ROUND((IF(I489="",TODAY(),I489)-H489)/365,1)</f>
        <v>2.7</v>
      </c>
      <c r="Q489" s="2" t="str">
        <f t="shared" si="7"/>
        <v>Low</v>
      </c>
    </row>
    <row r="490" spans="1:17" x14ac:dyDescent="0.35">
      <c r="A490" s="2" t="s">
        <v>1474</v>
      </c>
      <c r="B490" s="2" t="s">
        <v>1475</v>
      </c>
      <c r="C490" s="2" t="s">
        <v>11</v>
      </c>
      <c r="D490" s="2" t="s">
        <v>66</v>
      </c>
      <c r="E490" s="2" t="s">
        <v>46</v>
      </c>
      <c r="F490" s="2">
        <v>40</v>
      </c>
      <c r="G490" s="2" t="s">
        <v>32</v>
      </c>
      <c r="H490" s="3" t="s">
        <v>1476</v>
      </c>
      <c r="I490" s="2"/>
      <c r="J490" s="2" t="s">
        <v>8</v>
      </c>
      <c r="K490" s="2">
        <v>59136</v>
      </c>
      <c r="L490" s="2">
        <v>3</v>
      </c>
      <c r="M490" s="2">
        <v>5</v>
      </c>
      <c r="N490" s="2" t="s">
        <v>6</v>
      </c>
      <c r="O490" s="2">
        <v>37</v>
      </c>
      <c r="P490" s="2">
        <f ca="1">ROUND((IF(I490="",TODAY(),I490)-H490)/365,1)</f>
        <v>8.4</v>
      </c>
      <c r="Q490" s="2" t="str">
        <f t="shared" si="7"/>
        <v>Medium</v>
      </c>
    </row>
    <row r="491" spans="1:17" x14ac:dyDescent="0.35">
      <c r="A491" s="2" t="s">
        <v>1477</v>
      </c>
      <c r="B491" s="2" t="s">
        <v>1305</v>
      </c>
      <c r="C491" s="2" t="s">
        <v>11</v>
      </c>
      <c r="D491" s="2" t="s">
        <v>45</v>
      </c>
      <c r="E491" s="2" t="s">
        <v>31</v>
      </c>
      <c r="F491" s="2">
        <v>23</v>
      </c>
      <c r="G491" s="2" t="s">
        <v>78</v>
      </c>
      <c r="H491" s="3" t="s">
        <v>676</v>
      </c>
      <c r="I491" s="3" t="s">
        <v>1478</v>
      </c>
      <c r="J491" s="2" t="s">
        <v>6</v>
      </c>
      <c r="K491" s="2">
        <v>136600</v>
      </c>
      <c r="L491" s="2">
        <v>5</v>
      </c>
      <c r="M491" s="2">
        <v>2</v>
      </c>
      <c r="N491" s="2" t="s">
        <v>8</v>
      </c>
      <c r="O491" s="2">
        <v>5</v>
      </c>
      <c r="P491" s="2">
        <f ca="1">ROUND((IF(I491="",TODAY(),I491)-H491)/365,1)</f>
        <v>7.1</v>
      </c>
      <c r="Q491" s="2" t="str">
        <f t="shared" si="7"/>
        <v>N/A</v>
      </c>
    </row>
    <row r="492" spans="1:17" x14ac:dyDescent="0.35">
      <c r="A492" s="2" t="s">
        <v>1479</v>
      </c>
      <c r="B492" s="2" t="s">
        <v>1480</v>
      </c>
      <c r="C492" s="2" t="s">
        <v>9</v>
      </c>
      <c r="D492" s="2" t="s">
        <v>41</v>
      </c>
      <c r="E492" s="2" t="s">
        <v>46</v>
      </c>
      <c r="F492" s="2">
        <v>33</v>
      </c>
      <c r="G492" s="2" t="s">
        <v>32</v>
      </c>
      <c r="H492" s="3" t="s">
        <v>1481</v>
      </c>
      <c r="I492" s="3" t="s">
        <v>1482</v>
      </c>
      <c r="J492" s="2" t="s">
        <v>6</v>
      </c>
      <c r="K492" s="2">
        <v>130885</v>
      </c>
      <c r="L492" s="2">
        <v>4</v>
      </c>
      <c r="M492" s="2">
        <v>2</v>
      </c>
      <c r="N492" s="2" t="s">
        <v>8</v>
      </c>
      <c r="O492" s="2">
        <v>24</v>
      </c>
      <c r="P492" s="2">
        <f ca="1">ROUND((IF(I492="",TODAY(),I492)-H492)/365,1)</f>
        <v>1.1000000000000001</v>
      </c>
      <c r="Q492" s="2" t="str">
        <f t="shared" si="7"/>
        <v>N/A</v>
      </c>
    </row>
    <row r="493" spans="1:17" x14ac:dyDescent="0.35">
      <c r="A493" s="2" t="s">
        <v>1483</v>
      </c>
      <c r="B493" s="2" t="s">
        <v>668</v>
      </c>
      <c r="C493" s="2" t="s">
        <v>7</v>
      </c>
      <c r="D493" s="2" t="s">
        <v>125</v>
      </c>
      <c r="E493" s="2" t="s">
        <v>31</v>
      </c>
      <c r="F493" s="2">
        <v>43</v>
      </c>
      <c r="G493" s="2" t="s">
        <v>78</v>
      </c>
      <c r="H493" s="3" t="s">
        <v>1484</v>
      </c>
      <c r="I493" s="2"/>
      <c r="J493" s="2" t="s">
        <v>8</v>
      </c>
      <c r="K493" s="2">
        <v>123665</v>
      </c>
      <c r="L493" s="2">
        <v>2</v>
      </c>
      <c r="M493" s="2">
        <v>5</v>
      </c>
      <c r="N493" s="2" t="s">
        <v>8</v>
      </c>
      <c r="O493" s="2">
        <v>32</v>
      </c>
      <c r="P493" s="2">
        <f ca="1">ROUND((IF(I493="",TODAY(),I493)-H493)/365,1)</f>
        <v>10.7</v>
      </c>
      <c r="Q493" s="2" t="str">
        <f t="shared" si="7"/>
        <v>Low</v>
      </c>
    </row>
    <row r="494" spans="1:17" x14ac:dyDescent="0.35">
      <c r="A494" s="2" t="s">
        <v>1485</v>
      </c>
      <c r="B494" s="2" t="s">
        <v>455</v>
      </c>
      <c r="C494" s="2" t="s">
        <v>7</v>
      </c>
      <c r="D494" s="2" t="s">
        <v>37</v>
      </c>
      <c r="E494" s="2" t="s">
        <v>46</v>
      </c>
      <c r="F494" s="2">
        <v>58</v>
      </c>
      <c r="G494" s="2" t="s">
        <v>32</v>
      </c>
      <c r="H494" s="3" t="s">
        <v>1486</v>
      </c>
      <c r="I494" s="2"/>
      <c r="J494" s="2" t="s">
        <v>8</v>
      </c>
      <c r="K494" s="2">
        <v>31884</v>
      </c>
      <c r="L494" s="2">
        <v>3</v>
      </c>
      <c r="M494" s="2">
        <v>1</v>
      </c>
      <c r="N494" s="2" t="s">
        <v>8</v>
      </c>
      <c r="O494" s="2">
        <v>8</v>
      </c>
      <c r="P494" s="2">
        <f ca="1">ROUND((IF(I494="",TODAY(),I494)-H494)/365,1)</f>
        <v>3.4</v>
      </c>
      <c r="Q494" s="2" t="str">
        <f t="shared" si="7"/>
        <v>Medium</v>
      </c>
    </row>
    <row r="495" spans="1:17" x14ac:dyDescent="0.35">
      <c r="A495" s="2" t="s">
        <v>1487</v>
      </c>
      <c r="B495" s="2" t="s">
        <v>1488</v>
      </c>
      <c r="C495" s="2" t="s">
        <v>10</v>
      </c>
      <c r="D495" s="2" t="s">
        <v>258</v>
      </c>
      <c r="E495" s="2" t="s">
        <v>46</v>
      </c>
      <c r="F495" s="2">
        <v>46</v>
      </c>
      <c r="G495" s="2" t="s">
        <v>78</v>
      </c>
      <c r="H495" s="3" t="s">
        <v>1489</v>
      </c>
      <c r="I495" s="3" t="s">
        <v>1490</v>
      </c>
      <c r="J495" s="2" t="s">
        <v>6</v>
      </c>
      <c r="K495" s="2">
        <v>94526</v>
      </c>
      <c r="L495" s="2">
        <v>3</v>
      </c>
      <c r="M495" s="2">
        <v>4</v>
      </c>
      <c r="N495" s="2" t="s">
        <v>8</v>
      </c>
      <c r="O495" s="2">
        <v>10</v>
      </c>
      <c r="P495" s="2">
        <f ca="1">ROUND((IF(I495="",TODAY(),I495)-H495)/365,1)</f>
        <v>2.7</v>
      </c>
      <c r="Q495" s="2" t="str">
        <f t="shared" si="7"/>
        <v>N/A</v>
      </c>
    </row>
    <row r="496" spans="1:17" x14ac:dyDescent="0.35">
      <c r="A496" s="2" t="s">
        <v>1491</v>
      </c>
      <c r="B496" s="2" t="s">
        <v>522</v>
      </c>
      <c r="C496" s="2" t="s">
        <v>10</v>
      </c>
      <c r="D496" s="2" t="s">
        <v>70</v>
      </c>
      <c r="E496" s="2" t="s">
        <v>46</v>
      </c>
      <c r="F496" s="2">
        <v>28</v>
      </c>
      <c r="G496" s="2" t="s">
        <v>56</v>
      </c>
      <c r="H496" s="3" t="s">
        <v>1492</v>
      </c>
      <c r="I496" s="2"/>
      <c r="J496" s="2" t="s">
        <v>8</v>
      </c>
      <c r="K496" s="2">
        <v>145329</v>
      </c>
      <c r="L496" s="2">
        <v>4</v>
      </c>
      <c r="M496" s="2">
        <v>3</v>
      </c>
      <c r="N496" s="2" t="s">
        <v>8</v>
      </c>
      <c r="O496" s="2">
        <v>40</v>
      </c>
      <c r="P496" s="2">
        <f ca="1">ROUND((IF(I496="",TODAY(),I496)-H496)/365,1)</f>
        <v>1.3</v>
      </c>
      <c r="Q496" s="2" t="str">
        <f t="shared" si="7"/>
        <v>Low</v>
      </c>
    </row>
    <row r="497" spans="1:17" x14ac:dyDescent="0.35">
      <c r="A497" s="2" t="s">
        <v>1493</v>
      </c>
      <c r="B497" s="2" t="s">
        <v>386</v>
      </c>
      <c r="C497" s="2" t="s">
        <v>9</v>
      </c>
      <c r="D497" s="2" t="s">
        <v>41</v>
      </c>
      <c r="E497" s="2" t="s">
        <v>46</v>
      </c>
      <c r="F497" s="2">
        <v>47</v>
      </c>
      <c r="G497" s="2" t="s">
        <v>78</v>
      </c>
      <c r="H497" s="3" t="s">
        <v>1494</v>
      </c>
      <c r="I497" s="2"/>
      <c r="J497" s="2" t="s">
        <v>8</v>
      </c>
      <c r="K497" s="2">
        <v>93151</v>
      </c>
      <c r="L497" s="2">
        <v>5</v>
      </c>
      <c r="M497" s="2">
        <v>2</v>
      </c>
      <c r="N497" s="2" t="s">
        <v>8</v>
      </c>
      <c r="O497" s="2">
        <v>13</v>
      </c>
      <c r="P497" s="2">
        <f ca="1">ROUND((IF(I497="",TODAY(),I497)-H497)/365,1)</f>
        <v>6.4</v>
      </c>
      <c r="Q497" s="2" t="str">
        <f t="shared" si="7"/>
        <v>Medium</v>
      </c>
    </row>
    <row r="498" spans="1:17" x14ac:dyDescent="0.35">
      <c r="A498" s="2" t="s">
        <v>1495</v>
      </c>
      <c r="B498" s="2" t="s">
        <v>392</v>
      </c>
      <c r="C498" s="2" t="s">
        <v>7</v>
      </c>
      <c r="D498" s="2" t="s">
        <v>125</v>
      </c>
      <c r="E498" s="2" t="s">
        <v>31</v>
      </c>
      <c r="F498" s="2">
        <v>22</v>
      </c>
      <c r="G498" s="2" t="s">
        <v>56</v>
      </c>
      <c r="H498" s="3" t="s">
        <v>1496</v>
      </c>
      <c r="I498" s="3" t="s">
        <v>1497</v>
      </c>
      <c r="J498" s="2" t="s">
        <v>6</v>
      </c>
      <c r="K498" s="2">
        <v>53759</v>
      </c>
      <c r="L498" s="2">
        <v>4</v>
      </c>
      <c r="M498" s="2">
        <v>1</v>
      </c>
      <c r="N498" s="2" t="s">
        <v>6</v>
      </c>
      <c r="O498" s="2">
        <v>23</v>
      </c>
      <c r="P498" s="2">
        <f ca="1">ROUND((IF(I498="",TODAY(),I498)-H498)/365,1)</f>
        <v>2.2999999999999998</v>
      </c>
      <c r="Q498" s="2" t="str">
        <f t="shared" si="7"/>
        <v>N/A</v>
      </c>
    </row>
    <row r="499" spans="1:17" x14ac:dyDescent="0.35">
      <c r="A499" s="2" t="s">
        <v>1498</v>
      </c>
      <c r="B499" s="2" t="s">
        <v>1499</v>
      </c>
      <c r="C499" s="2" t="s">
        <v>5</v>
      </c>
      <c r="D499" s="2" t="s">
        <v>94</v>
      </c>
      <c r="E499" s="2" t="s">
        <v>31</v>
      </c>
      <c r="F499" s="2">
        <v>35</v>
      </c>
      <c r="G499" s="2" t="s">
        <v>78</v>
      </c>
      <c r="H499" s="3" t="s">
        <v>1500</v>
      </c>
      <c r="I499" s="2"/>
      <c r="J499" s="2" t="s">
        <v>8</v>
      </c>
      <c r="K499" s="2">
        <v>42027</v>
      </c>
      <c r="L499" s="2">
        <v>1</v>
      </c>
      <c r="M499" s="2">
        <v>1</v>
      </c>
      <c r="N499" s="2" t="s">
        <v>8</v>
      </c>
      <c r="O499" s="2">
        <v>39</v>
      </c>
      <c r="P499" s="2">
        <f ca="1">ROUND((IF(I499="",TODAY(),I499)-H499)/365,1)</f>
        <v>4.9000000000000004</v>
      </c>
      <c r="Q499" s="2" t="str">
        <f t="shared" si="7"/>
        <v>Medium</v>
      </c>
    </row>
    <row r="500" spans="1:17" x14ac:dyDescent="0.35">
      <c r="A500" s="2" t="s">
        <v>1501</v>
      </c>
      <c r="B500" s="2" t="s">
        <v>1502</v>
      </c>
      <c r="C500" s="2" t="s">
        <v>12</v>
      </c>
      <c r="D500" s="2" t="s">
        <v>55</v>
      </c>
      <c r="E500" s="2" t="s">
        <v>31</v>
      </c>
      <c r="F500" s="2">
        <v>38</v>
      </c>
      <c r="G500" s="2" t="s">
        <v>78</v>
      </c>
      <c r="H500" s="3" t="s">
        <v>1503</v>
      </c>
      <c r="I500" s="2"/>
      <c r="J500" s="2" t="s">
        <v>8</v>
      </c>
      <c r="K500" s="2">
        <v>125841</v>
      </c>
      <c r="L500" s="2">
        <v>4</v>
      </c>
      <c r="M500" s="2">
        <v>1</v>
      </c>
      <c r="N500" s="2" t="s">
        <v>8</v>
      </c>
      <c r="O500" s="2">
        <v>18</v>
      </c>
      <c r="P500" s="2">
        <f ca="1">ROUND((IF(I500="",TODAY(),I500)-H500)/365,1)</f>
        <v>8.3000000000000007</v>
      </c>
      <c r="Q500" s="2" t="str">
        <f t="shared" si="7"/>
        <v>Medium</v>
      </c>
    </row>
    <row r="501" spans="1:17" x14ac:dyDescent="0.35">
      <c r="A501" s="2" t="s">
        <v>1504</v>
      </c>
      <c r="B501" s="2" t="s">
        <v>475</v>
      </c>
      <c r="C501" s="2" t="s">
        <v>12</v>
      </c>
      <c r="D501" s="2" t="s">
        <v>133</v>
      </c>
      <c r="E501" s="2" t="s">
        <v>46</v>
      </c>
      <c r="F501" s="2">
        <v>39</v>
      </c>
      <c r="G501" s="2" t="s">
        <v>78</v>
      </c>
      <c r="H501" s="3" t="s">
        <v>1505</v>
      </c>
      <c r="I501" s="3" t="s">
        <v>1506</v>
      </c>
      <c r="J501" s="2" t="s">
        <v>6</v>
      </c>
      <c r="K501" s="2">
        <v>58847</v>
      </c>
      <c r="L501" s="2">
        <v>3</v>
      </c>
      <c r="M501" s="2">
        <v>4</v>
      </c>
      <c r="N501" s="2" t="s">
        <v>6</v>
      </c>
      <c r="O501" s="2">
        <v>4</v>
      </c>
      <c r="P501" s="2">
        <f ca="1">ROUND((IF(I501="",TODAY(),I501)-H501)/365,1)</f>
        <v>0.4</v>
      </c>
      <c r="Q501" s="2" t="str">
        <f t="shared" si="7"/>
        <v>N/A</v>
      </c>
    </row>
    <row r="502" spans="1:17" x14ac:dyDescent="0.35">
      <c r="A502" s="2" t="s">
        <v>1507</v>
      </c>
      <c r="B502" s="2" t="s">
        <v>226</v>
      </c>
      <c r="C502" s="2" t="s">
        <v>10</v>
      </c>
      <c r="D502" s="2" t="s">
        <v>111</v>
      </c>
      <c r="E502" s="2" t="s">
        <v>46</v>
      </c>
      <c r="F502" s="2">
        <v>28</v>
      </c>
      <c r="G502" s="2" t="s">
        <v>32</v>
      </c>
      <c r="H502" s="3" t="s">
        <v>1508</v>
      </c>
      <c r="I502" s="2"/>
      <c r="J502" s="2" t="s">
        <v>8</v>
      </c>
      <c r="K502" s="2">
        <v>109323</v>
      </c>
      <c r="L502" s="2">
        <v>2</v>
      </c>
      <c r="M502" s="2">
        <v>4</v>
      </c>
      <c r="N502" s="2" t="s">
        <v>8</v>
      </c>
      <c r="O502" s="2">
        <v>40</v>
      </c>
      <c r="P502" s="2">
        <f ca="1">ROUND((IF(I502="",TODAY(),I502)-H502)/365,1)</f>
        <v>10</v>
      </c>
      <c r="Q502" s="2" t="str">
        <f t="shared" si="7"/>
        <v>Low</v>
      </c>
    </row>
    <row r="503" spans="1:17" x14ac:dyDescent="0.35">
      <c r="A503" s="2" t="s">
        <v>1509</v>
      </c>
      <c r="B503" s="2" t="s">
        <v>1510</v>
      </c>
      <c r="C503" s="2" t="s">
        <v>12</v>
      </c>
      <c r="D503" s="2" t="s">
        <v>133</v>
      </c>
      <c r="E503" s="2" t="s">
        <v>31</v>
      </c>
      <c r="F503" s="2">
        <v>26</v>
      </c>
      <c r="G503" s="2" t="s">
        <v>56</v>
      </c>
      <c r="H503" s="3" t="s">
        <v>1511</v>
      </c>
      <c r="I503" s="2"/>
      <c r="J503" s="2" t="s">
        <v>8</v>
      </c>
      <c r="K503" s="2">
        <v>44510</v>
      </c>
      <c r="L503" s="2">
        <v>1</v>
      </c>
      <c r="M503" s="2">
        <v>4</v>
      </c>
      <c r="N503" s="2" t="s">
        <v>8</v>
      </c>
      <c r="O503" s="2">
        <v>32</v>
      </c>
      <c r="P503" s="2">
        <f ca="1">ROUND((IF(I503="",TODAY(),I503)-H503)/365,1)</f>
        <v>5.2</v>
      </c>
      <c r="Q503" s="2" t="str">
        <f t="shared" si="7"/>
        <v>Low</v>
      </c>
    </row>
    <row r="504" spans="1:17" x14ac:dyDescent="0.35">
      <c r="A504" s="2" t="s">
        <v>1512</v>
      </c>
      <c r="B504" s="2" t="s">
        <v>1513</v>
      </c>
      <c r="C504" s="2" t="s">
        <v>5</v>
      </c>
      <c r="D504" s="2" t="s">
        <v>102</v>
      </c>
      <c r="E504" s="2" t="s">
        <v>46</v>
      </c>
      <c r="F504" s="2">
        <v>43</v>
      </c>
      <c r="G504" s="2" t="s">
        <v>78</v>
      </c>
      <c r="H504" s="3" t="s">
        <v>1514</v>
      </c>
      <c r="I504" s="2"/>
      <c r="J504" s="2" t="s">
        <v>8</v>
      </c>
      <c r="K504" s="2">
        <v>87670</v>
      </c>
      <c r="L504" s="2">
        <v>5</v>
      </c>
      <c r="M504" s="2">
        <v>1</v>
      </c>
      <c r="N504" s="2" t="s">
        <v>8</v>
      </c>
      <c r="O504" s="2">
        <v>32</v>
      </c>
      <c r="P504" s="2">
        <f ca="1">ROUND((IF(I504="",TODAY(),I504)-H504)/365,1)</f>
        <v>1.5</v>
      </c>
      <c r="Q504" s="2" t="str">
        <f t="shared" si="7"/>
        <v>Medium</v>
      </c>
    </row>
    <row r="505" spans="1:17" x14ac:dyDescent="0.35">
      <c r="A505" s="2" t="s">
        <v>1515</v>
      </c>
      <c r="B505" s="2" t="s">
        <v>1276</v>
      </c>
      <c r="C505" s="2" t="s">
        <v>12</v>
      </c>
      <c r="D505" s="2" t="s">
        <v>30</v>
      </c>
      <c r="E505" s="2" t="s">
        <v>31</v>
      </c>
      <c r="F505" s="2">
        <v>52</v>
      </c>
      <c r="G505" s="2" t="s">
        <v>78</v>
      </c>
      <c r="H505" s="3" t="s">
        <v>1516</v>
      </c>
      <c r="I505" s="3" t="s">
        <v>1517</v>
      </c>
      <c r="J505" s="2" t="s">
        <v>6</v>
      </c>
      <c r="K505" s="2">
        <v>64692</v>
      </c>
      <c r="L505" s="2">
        <v>3</v>
      </c>
      <c r="M505" s="2">
        <v>3</v>
      </c>
      <c r="N505" s="2" t="s">
        <v>8</v>
      </c>
      <c r="O505" s="2">
        <v>44</v>
      </c>
      <c r="P505" s="2">
        <f ca="1">ROUND((IF(I505="",TODAY(),I505)-H505)/365,1)</f>
        <v>7.4</v>
      </c>
      <c r="Q505" s="2" t="str">
        <f t="shared" si="7"/>
        <v>N/A</v>
      </c>
    </row>
    <row r="506" spans="1:17" x14ac:dyDescent="0.35">
      <c r="A506" s="2" t="s">
        <v>1518</v>
      </c>
      <c r="B506" s="2" t="s">
        <v>1519</v>
      </c>
      <c r="C506" s="2" t="s">
        <v>5</v>
      </c>
      <c r="D506" s="2" t="s">
        <v>207</v>
      </c>
      <c r="E506" s="2" t="s">
        <v>46</v>
      </c>
      <c r="F506" s="2">
        <v>40</v>
      </c>
      <c r="G506" s="2" t="s">
        <v>32</v>
      </c>
      <c r="H506" s="3" t="s">
        <v>1520</v>
      </c>
      <c r="I506" s="3" t="s">
        <v>1521</v>
      </c>
      <c r="J506" s="2" t="s">
        <v>6</v>
      </c>
      <c r="K506" s="2">
        <v>111603</v>
      </c>
      <c r="L506" s="2">
        <v>1</v>
      </c>
      <c r="M506" s="2">
        <v>5</v>
      </c>
      <c r="N506" s="2" t="s">
        <v>6</v>
      </c>
      <c r="O506" s="2">
        <v>25</v>
      </c>
      <c r="P506" s="2">
        <f ca="1">ROUND((IF(I506="",TODAY(),I506)-H506)/365,1)</f>
        <v>2.4</v>
      </c>
      <c r="Q506" s="2" t="str">
        <f t="shared" si="7"/>
        <v>N/A</v>
      </c>
    </row>
    <row r="507" spans="1:17" x14ac:dyDescent="0.35">
      <c r="A507" s="2" t="s">
        <v>1522</v>
      </c>
      <c r="B507" s="2" t="s">
        <v>1523</v>
      </c>
      <c r="C507" s="2" t="s">
        <v>5</v>
      </c>
      <c r="D507" s="2" t="s">
        <v>102</v>
      </c>
      <c r="E507" s="2" t="s">
        <v>46</v>
      </c>
      <c r="F507" s="2">
        <v>50</v>
      </c>
      <c r="G507" s="2" t="s">
        <v>56</v>
      </c>
      <c r="H507" s="3" t="s">
        <v>1524</v>
      </c>
      <c r="I507" s="3" t="s">
        <v>1525</v>
      </c>
      <c r="J507" s="2" t="s">
        <v>6</v>
      </c>
      <c r="K507" s="2">
        <v>119337</v>
      </c>
      <c r="L507" s="2">
        <v>2</v>
      </c>
      <c r="M507" s="2">
        <v>1</v>
      </c>
      <c r="N507" s="2" t="s">
        <v>6</v>
      </c>
      <c r="O507" s="2">
        <v>2</v>
      </c>
      <c r="P507" s="2">
        <f ca="1">ROUND((IF(I507="",TODAY(),I507)-H507)/365,1)</f>
        <v>2.2999999999999998</v>
      </c>
      <c r="Q507" s="2" t="str">
        <f t="shared" si="7"/>
        <v>N/A</v>
      </c>
    </row>
    <row r="508" spans="1:17" x14ac:dyDescent="0.35">
      <c r="A508" s="2" t="s">
        <v>1526</v>
      </c>
      <c r="B508" s="2" t="s">
        <v>874</v>
      </c>
      <c r="C508" s="2" t="s">
        <v>5</v>
      </c>
      <c r="D508" s="2" t="s">
        <v>102</v>
      </c>
      <c r="E508" s="2" t="s">
        <v>46</v>
      </c>
      <c r="F508" s="2">
        <v>50</v>
      </c>
      <c r="G508" s="2" t="s">
        <v>32</v>
      </c>
      <c r="H508" s="3" t="s">
        <v>1527</v>
      </c>
      <c r="I508" s="3" t="s">
        <v>1528</v>
      </c>
      <c r="J508" s="2" t="s">
        <v>6</v>
      </c>
      <c r="K508" s="2">
        <v>78150</v>
      </c>
      <c r="L508" s="2">
        <v>3</v>
      </c>
      <c r="M508" s="2">
        <v>1</v>
      </c>
      <c r="N508" s="2" t="s">
        <v>6</v>
      </c>
      <c r="O508" s="2">
        <v>3</v>
      </c>
      <c r="P508" s="2">
        <f ca="1">ROUND((IF(I508="",TODAY(),I508)-H508)/365,1)</f>
        <v>10.4</v>
      </c>
      <c r="Q508" s="2" t="str">
        <f t="shared" si="7"/>
        <v>N/A</v>
      </c>
    </row>
    <row r="509" spans="1:17" x14ac:dyDescent="0.35">
      <c r="A509" s="2" t="s">
        <v>1529</v>
      </c>
      <c r="B509" s="2" t="s">
        <v>591</v>
      </c>
      <c r="C509" s="2" t="s">
        <v>12</v>
      </c>
      <c r="D509" s="2" t="s">
        <v>55</v>
      </c>
      <c r="E509" s="2" t="s">
        <v>31</v>
      </c>
      <c r="F509" s="2">
        <v>26</v>
      </c>
      <c r="G509" s="2" t="s">
        <v>56</v>
      </c>
      <c r="H509" s="3" t="s">
        <v>1530</v>
      </c>
      <c r="I509" s="3" t="s">
        <v>1531</v>
      </c>
      <c r="J509" s="2" t="s">
        <v>6</v>
      </c>
      <c r="K509" s="2">
        <v>143905</v>
      </c>
      <c r="L509" s="2">
        <v>1</v>
      </c>
      <c r="M509" s="2">
        <v>4</v>
      </c>
      <c r="N509" s="2" t="s">
        <v>8</v>
      </c>
      <c r="O509" s="2">
        <v>31</v>
      </c>
      <c r="P509" s="2">
        <f ca="1">ROUND((IF(I509="",TODAY(),I509)-H509)/365,1)</f>
        <v>8</v>
      </c>
      <c r="Q509" s="2" t="str">
        <f t="shared" si="7"/>
        <v>N/A</v>
      </c>
    </row>
    <row r="510" spans="1:17" x14ac:dyDescent="0.35">
      <c r="A510" s="2" t="s">
        <v>1532</v>
      </c>
      <c r="B510" s="2" t="s">
        <v>1533</v>
      </c>
      <c r="C510" s="2" t="s">
        <v>12</v>
      </c>
      <c r="D510" s="2" t="s">
        <v>30</v>
      </c>
      <c r="E510" s="2" t="s">
        <v>31</v>
      </c>
      <c r="F510" s="2">
        <v>41</v>
      </c>
      <c r="G510" s="2" t="s">
        <v>56</v>
      </c>
      <c r="H510" s="3" t="s">
        <v>1534</v>
      </c>
      <c r="I510" s="3" t="s">
        <v>1535</v>
      </c>
      <c r="J510" s="2" t="s">
        <v>6</v>
      </c>
      <c r="K510" s="2">
        <v>134491</v>
      </c>
      <c r="L510" s="2">
        <v>5</v>
      </c>
      <c r="M510" s="2">
        <v>4</v>
      </c>
      <c r="N510" s="2" t="s">
        <v>8</v>
      </c>
      <c r="O510" s="2">
        <v>11</v>
      </c>
      <c r="P510" s="2">
        <f ca="1">ROUND((IF(I510="",TODAY(),I510)-H510)/365,1)</f>
        <v>0.5</v>
      </c>
      <c r="Q510" s="2" t="str">
        <f t="shared" si="7"/>
        <v>N/A</v>
      </c>
    </row>
    <row r="511" spans="1:17" x14ac:dyDescent="0.35">
      <c r="A511" s="2" t="s">
        <v>1536</v>
      </c>
      <c r="B511" s="2" t="s">
        <v>1537</v>
      </c>
      <c r="C511" s="2" t="s">
        <v>5</v>
      </c>
      <c r="D511" s="2" t="s">
        <v>207</v>
      </c>
      <c r="E511" s="2" t="s">
        <v>31</v>
      </c>
      <c r="F511" s="2">
        <v>49</v>
      </c>
      <c r="G511" s="2" t="s">
        <v>56</v>
      </c>
      <c r="H511" s="3" t="s">
        <v>1538</v>
      </c>
      <c r="I511" s="2"/>
      <c r="J511" s="2" t="s">
        <v>8</v>
      </c>
      <c r="K511" s="2">
        <v>114664</v>
      </c>
      <c r="L511" s="2">
        <v>3</v>
      </c>
      <c r="M511" s="2">
        <v>4</v>
      </c>
      <c r="N511" s="2" t="s">
        <v>8</v>
      </c>
      <c r="O511" s="2">
        <v>8</v>
      </c>
      <c r="P511" s="2">
        <f ca="1">ROUND((IF(I511="",TODAY(),I511)-H511)/365,1)</f>
        <v>7.8</v>
      </c>
      <c r="Q511" s="2" t="str">
        <f t="shared" si="7"/>
        <v>Low</v>
      </c>
    </row>
    <row r="512" spans="1:17" x14ac:dyDescent="0.35">
      <c r="A512" s="2" t="s">
        <v>1539</v>
      </c>
      <c r="B512" s="2" t="s">
        <v>1540</v>
      </c>
      <c r="C512" s="2" t="s">
        <v>9</v>
      </c>
      <c r="D512" s="2" t="s">
        <v>51</v>
      </c>
      <c r="E512" s="2" t="s">
        <v>31</v>
      </c>
      <c r="F512" s="2">
        <v>43</v>
      </c>
      <c r="G512" s="2" t="s">
        <v>78</v>
      </c>
      <c r="H512" s="3" t="s">
        <v>1541</v>
      </c>
      <c r="I512" s="2"/>
      <c r="J512" s="2" t="s">
        <v>8</v>
      </c>
      <c r="K512" s="2">
        <v>116264</v>
      </c>
      <c r="L512" s="2">
        <v>4</v>
      </c>
      <c r="M512" s="2">
        <v>2</v>
      </c>
      <c r="N512" s="2" t="s">
        <v>6</v>
      </c>
      <c r="O512" s="2">
        <v>11</v>
      </c>
      <c r="P512" s="2">
        <f ca="1">ROUND((IF(I512="",TODAY(),I512)-H512)/365,1)</f>
        <v>10.9</v>
      </c>
      <c r="Q512" s="2" t="str">
        <f t="shared" si="7"/>
        <v>High</v>
      </c>
    </row>
    <row r="513" spans="1:17" x14ac:dyDescent="0.35">
      <c r="A513" s="2" t="s">
        <v>1542</v>
      </c>
      <c r="B513" s="2" t="s">
        <v>554</v>
      </c>
      <c r="C513" s="2" t="s">
        <v>10</v>
      </c>
      <c r="D513" s="2" t="s">
        <v>111</v>
      </c>
      <c r="E513" s="2" t="s">
        <v>31</v>
      </c>
      <c r="F513" s="2">
        <v>46</v>
      </c>
      <c r="G513" s="2" t="s">
        <v>32</v>
      </c>
      <c r="H513" s="3" t="s">
        <v>1543</v>
      </c>
      <c r="I513" s="2"/>
      <c r="J513" s="2" t="s">
        <v>8</v>
      </c>
      <c r="K513" s="2">
        <v>25946</v>
      </c>
      <c r="L513" s="2">
        <v>1</v>
      </c>
      <c r="M513" s="2">
        <v>4</v>
      </c>
      <c r="N513" s="2" t="s">
        <v>6</v>
      </c>
      <c r="O513" s="2">
        <v>1</v>
      </c>
      <c r="P513" s="2">
        <f ca="1">ROUND((IF(I513="",TODAY(),I513)-H513)/365,1)</f>
        <v>2.9</v>
      </c>
      <c r="Q513" s="2" t="str">
        <f t="shared" si="7"/>
        <v>Medium</v>
      </c>
    </row>
    <row r="514" spans="1:17" x14ac:dyDescent="0.35">
      <c r="A514" s="2" t="s">
        <v>1544</v>
      </c>
      <c r="B514" s="2" t="s">
        <v>1545</v>
      </c>
      <c r="C514" s="2" t="s">
        <v>12</v>
      </c>
      <c r="D514" s="2" t="s">
        <v>55</v>
      </c>
      <c r="E514" s="2" t="s">
        <v>46</v>
      </c>
      <c r="F514" s="2">
        <v>30</v>
      </c>
      <c r="G514" s="2" t="s">
        <v>32</v>
      </c>
      <c r="H514" s="3" t="s">
        <v>635</v>
      </c>
      <c r="I514" s="2"/>
      <c r="J514" s="2" t="s">
        <v>8</v>
      </c>
      <c r="K514" s="2">
        <v>79005</v>
      </c>
      <c r="L514" s="2">
        <v>5</v>
      </c>
      <c r="M514" s="2">
        <v>3</v>
      </c>
      <c r="N514" s="2" t="s">
        <v>6</v>
      </c>
      <c r="O514" s="2">
        <v>29</v>
      </c>
      <c r="P514" s="2">
        <f ca="1">ROUND((IF(I514="",TODAY(),I514)-H514)/365,1)</f>
        <v>9.3000000000000007</v>
      </c>
      <c r="Q514" s="2" t="str">
        <f t="shared" ref="Q514:Q577" si="8">IF(J514="No",IF(AND(M514&lt;=2,N514="Yes"),"High",IF(OR(M514&lt;=2,N514="Yes"),"Medium","Low")),"N/A")</f>
        <v>Medium</v>
      </c>
    </row>
    <row r="515" spans="1:17" x14ac:dyDescent="0.35">
      <c r="A515" s="2" t="s">
        <v>1546</v>
      </c>
      <c r="B515" s="2" t="s">
        <v>54</v>
      </c>
      <c r="C515" s="2" t="s">
        <v>11</v>
      </c>
      <c r="D515" s="2" t="s">
        <v>98</v>
      </c>
      <c r="E515" s="2" t="s">
        <v>31</v>
      </c>
      <c r="F515" s="2">
        <v>53</v>
      </c>
      <c r="G515" s="2" t="s">
        <v>56</v>
      </c>
      <c r="H515" s="3" t="s">
        <v>517</v>
      </c>
      <c r="I515" s="2"/>
      <c r="J515" s="2" t="s">
        <v>8</v>
      </c>
      <c r="K515" s="2">
        <v>25599</v>
      </c>
      <c r="L515" s="2">
        <v>3</v>
      </c>
      <c r="M515" s="2">
        <v>3</v>
      </c>
      <c r="N515" s="2" t="s">
        <v>8</v>
      </c>
      <c r="O515" s="2">
        <v>27</v>
      </c>
      <c r="P515" s="2">
        <f ca="1">ROUND((IF(I515="",TODAY(),I515)-H515)/365,1)</f>
        <v>4.7</v>
      </c>
      <c r="Q515" s="2" t="str">
        <f t="shared" si="8"/>
        <v>Low</v>
      </c>
    </row>
    <row r="516" spans="1:17" x14ac:dyDescent="0.35">
      <c r="A516" s="2" t="s">
        <v>1547</v>
      </c>
      <c r="B516" s="2" t="s">
        <v>1548</v>
      </c>
      <c r="C516" s="2" t="s">
        <v>5</v>
      </c>
      <c r="D516" s="2" t="s">
        <v>102</v>
      </c>
      <c r="E516" s="2" t="s">
        <v>31</v>
      </c>
      <c r="F516" s="2">
        <v>56</v>
      </c>
      <c r="G516" s="2" t="s">
        <v>32</v>
      </c>
      <c r="H516" s="3" t="s">
        <v>1549</v>
      </c>
      <c r="I516" s="2"/>
      <c r="J516" s="2" t="s">
        <v>8</v>
      </c>
      <c r="K516" s="2">
        <v>50391</v>
      </c>
      <c r="L516" s="2">
        <v>3</v>
      </c>
      <c r="M516" s="2">
        <v>2</v>
      </c>
      <c r="N516" s="2" t="s">
        <v>6</v>
      </c>
      <c r="O516" s="2">
        <v>4</v>
      </c>
      <c r="P516" s="2">
        <f ca="1">ROUND((IF(I516="",TODAY(),I516)-H516)/365,1)</f>
        <v>5.9</v>
      </c>
      <c r="Q516" s="2" t="str">
        <f t="shared" si="8"/>
        <v>High</v>
      </c>
    </row>
    <row r="517" spans="1:17" x14ac:dyDescent="0.35">
      <c r="A517" s="2" t="s">
        <v>1550</v>
      </c>
      <c r="B517" s="2" t="s">
        <v>1551</v>
      </c>
      <c r="C517" s="2" t="s">
        <v>12</v>
      </c>
      <c r="D517" s="2" t="s">
        <v>133</v>
      </c>
      <c r="E517" s="2" t="s">
        <v>46</v>
      </c>
      <c r="F517" s="2">
        <v>24</v>
      </c>
      <c r="G517" s="2" t="s">
        <v>78</v>
      </c>
      <c r="H517" s="3" t="s">
        <v>1552</v>
      </c>
      <c r="I517" s="2"/>
      <c r="J517" s="2" t="s">
        <v>8</v>
      </c>
      <c r="K517" s="2">
        <v>57949</v>
      </c>
      <c r="L517" s="2">
        <v>2</v>
      </c>
      <c r="M517" s="2">
        <v>3</v>
      </c>
      <c r="N517" s="2" t="s">
        <v>8</v>
      </c>
      <c r="O517" s="2">
        <v>28</v>
      </c>
      <c r="P517" s="2">
        <f ca="1">ROUND((IF(I517="",TODAY(),I517)-H517)/365,1)</f>
        <v>11</v>
      </c>
      <c r="Q517" s="2" t="str">
        <f t="shared" si="8"/>
        <v>Low</v>
      </c>
    </row>
    <row r="518" spans="1:17" x14ac:dyDescent="0.35">
      <c r="A518" s="2" t="s">
        <v>1553</v>
      </c>
      <c r="B518" s="2" t="s">
        <v>1554</v>
      </c>
      <c r="C518" s="2" t="s">
        <v>10</v>
      </c>
      <c r="D518" s="2" t="s">
        <v>111</v>
      </c>
      <c r="E518" s="2" t="s">
        <v>31</v>
      </c>
      <c r="F518" s="2">
        <v>33</v>
      </c>
      <c r="G518" s="2" t="s">
        <v>32</v>
      </c>
      <c r="H518" s="3" t="s">
        <v>74</v>
      </c>
      <c r="I518" s="2"/>
      <c r="J518" s="2" t="s">
        <v>8</v>
      </c>
      <c r="K518" s="2">
        <v>34287</v>
      </c>
      <c r="L518" s="2">
        <v>5</v>
      </c>
      <c r="M518" s="2">
        <v>4</v>
      </c>
      <c r="N518" s="2" t="s">
        <v>8</v>
      </c>
      <c r="O518" s="2">
        <v>8</v>
      </c>
      <c r="P518" s="2">
        <f ca="1">ROUND((IF(I518="",TODAY(),I518)-H518)/365,1)</f>
        <v>9.8000000000000007</v>
      </c>
      <c r="Q518" s="2" t="str">
        <f t="shared" si="8"/>
        <v>Low</v>
      </c>
    </row>
    <row r="519" spans="1:17" x14ac:dyDescent="0.35">
      <c r="A519" s="2" t="s">
        <v>1555</v>
      </c>
      <c r="B519" s="2" t="s">
        <v>1556</v>
      </c>
      <c r="C519" s="2" t="s">
        <v>11</v>
      </c>
      <c r="D519" s="2" t="s">
        <v>98</v>
      </c>
      <c r="E519" s="2" t="s">
        <v>46</v>
      </c>
      <c r="F519" s="2">
        <v>42</v>
      </c>
      <c r="G519" s="2" t="s">
        <v>56</v>
      </c>
      <c r="H519" s="3" t="s">
        <v>1557</v>
      </c>
      <c r="I519" s="2"/>
      <c r="J519" s="2" t="s">
        <v>8</v>
      </c>
      <c r="K519" s="2">
        <v>56079</v>
      </c>
      <c r="L519" s="2">
        <v>2</v>
      </c>
      <c r="M519" s="2">
        <v>3</v>
      </c>
      <c r="N519" s="2" t="s">
        <v>8</v>
      </c>
      <c r="O519" s="2">
        <v>7</v>
      </c>
      <c r="P519" s="2">
        <f ca="1">ROUND((IF(I519="",TODAY(),I519)-H519)/365,1)</f>
        <v>9</v>
      </c>
      <c r="Q519" s="2" t="str">
        <f t="shared" si="8"/>
        <v>Low</v>
      </c>
    </row>
    <row r="520" spans="1:17" x14ac:dyDescent="0.35">
      <c r="A520" s="2" t="s">
        <v>1558</v>
      </c>
      <c r="B520" s="2" t="s">
        <v>303</v>
      </c>
      <c r="C520" s="2" t="s">
        <v>7</v>
      </c>
      <c r="D520" s="2" t="s">
        <v>125</v>
      </c>
      <c r="E520" s="2" t="s">
        <v>31</v>
      </c>
      <c r="F520" s="2">
        <v>53</v>
      </c>
      <c r="G520" s="2" t="s">
        <v>32</v>
      </c>
      <c r="H520" s="3" t="s">
        <v>1559</v>
      </c>
      <c r="I520" s="2"/>
      <c r="J520" s="2" t="s">
        <v>8</v>
      </c>
      <c r="K520" s="2">
        <v>84636</v>
      </c>
      <c r="L520" s="2">
        <v>2</v>
      </c>
      <c r="M520" s="2">
        <v>2</v>
      </c>
      <c r="N520" s="2" t="s">
        <v>8</v>
      </c>
      <c r="O520" s="2">
        <v>40</v>
      </c>
      <c r="P520" s="2">
        <f ca="1">ROUND((IF(I520="",TODAY(),I520)-H520)/365,1)</f>
        <v>11</v>
      </c>
      <c r="Q520" s="2" t="str">
        <f t="shared" si="8"/>
        <v>Medium</v>
      </c>
    </row>
    <row r="521" spans="1:17" x14ac:dyDescent="0.35">
      <c r="A521" s="2" t="s">
        <v>1560</v>
      </c>
      <c r="B521" s="2" t="s">
        <v>1561</v>
      </c>
      <c r="C521" s="2" t="s">
        <v>7</v>
      </c>
      <c r="D521" s="2" t="s">
        <v>125</v>
      </c>
      <c r="E521" s="2" t="s">
        <v>31</v>
      </c>
      <c r="F521" s="2">
        <v>34</v>
      </c>
      <c r="G521" s="2" t="s">
        <v>32</v>
      </c>
      <c r="H521" s="3" t="s">
        <v>1562</v>
      </c>
      <c r="I521" s="2"/>
      <c r="J521" s="2" t="s">
        <v>8</v>
      </c>
      <c r="K521" s="2">
        <v>42891</v>
      </c>
      <c r="L521" s="2">
        <v>1</v>
      </c>
      <c r="M521" s="2">
        <v>5</v>
      </c>
      <c r="N521" s="2" t="s">
        <v>6</v>
      </c>
      <c r="O521" s="2">
        <v>18</v>
      </c>
      <c r="P521" s="2">
        <f ca="1">ROUND((IF(I521="",TODAY(),I521)-H521)/365,1)</f>
        <v>7.8</v>
      </c>
      <c r="Q521" s="2" t="str">
        <f t="shared" si="8"/>
        <v>Medium</v>
      </c>
    </row>
    <row r="522" spans="1:17" x14ac:dyDescent="0.35">
      <c r="A522" s="2" t="s">
        <v>1563</v>
      </c>
      <c r="B522" s="2" t="s">
        <v>970</v>
      </c>
      <c r="C522" s="2" t="s">
        <v>10</v>
      </c>
      <c r="D522" s="2" t="s">
        <v>258</v>
      </c>
      <c r="E522" s="2" t="s">
        <v>31</v>
      </c>
      <c r="F522" s="2">
        <v>40</v>
      </c>
      <c r="G522" s="2" t="s">
        <v>32</v>
      </c>
      <c r="H522" s="3" t="s">
        <v>1564</v>
      </c>
      <c r="I522" s="3" t="s">
        <v>1565</v>
      </c>
      <c r="J522" s="2" t="s">
        <v>6</v>
      </c>
      <c r="K522" s="2">
        <v>97450</v>
      </c>
      <c r="L522" s="2">
        <v>2</v>
      </c>
      <c r="M522" s="2">
        <v>5</v>
      </c>
      <c r="N522" s="2" t="s">
        <v>6</v>
      </c>
      <c r="O522" s="2">
        <v>37</v>
      </c>
      <c r="P522" s="2">
        <f ca="1">ROUND((IF(I522="",TODAY(),I522)-H522)/365,1)</f>
        <v>3.1</v>
      </c>
      <c r="Q522" s="2" t="str">
        <f t="shared" si="8"/>
        <v>N/A</v>
      </c>
    </row>
    <row r="523" spans="1:17" x14ac:dyDescent="0.35">
      <c r="A523" s="2" t="s">
        <v>1566</v>
      </c>
      <c r="B523" s="2" t="s">
        <v>1353</v>
      </c>
      <c r="C523" s="2" t="s">
        <v>10</v>
      </c>
      <c r="D523" s="2" t="s">
        <v>111</v>
      </c>
      <c r="E523" s="2" t="s">
        <v>46</v>
      </c>
      <c r="F523" s="2">
        <v>22</v>
      </c>
      <c r="G523" s="2" t="s">
        <v>56</v>
      </c>
      <c r="H523" s="3" t="s">
        <v>964</v>
      </c>
      <c r="I523" s="3" t="s">
        <v>1567</v>
      </c>
      <c r="J523" s="2" t="s">
        <v>6</v>
      </c>
      <c r="K523" s="2">
        <v>81917</v>
      </c>
      <c r="L523" s="2">
        <v>2</v>
      </c>
      <c r="M523" s="2">
        <v>2</v>
      </c>
      <c r="N523" s="2" t="s">
        <v>8</v>
      </c>
      <c r="O523" s="2">
        <v>21</v>
      </c>
      <c r="P523" s="2">
        <f ca="1">ROUND((IF(I523="",TODAY(),I523)-H523)/365,1)</f>
        <v>1</v>
      </c>
      <c r="Q523" s="2" t="str">
        <f t="shared" si="8"/>
        <v>N/A</v>
      </c>
    </row>
    <row r="524" spans="1:17" x14ac:dyDescent="0.35">
      <c r="A524" s="2" t="s">
        <v>1568</v>
      </c>
      <c r="B524" s="2" t="s">
        <v>1569</v>
      </c>
      <c r="C524" s="2" t="s">
        <v>11</v>
      </c>
      <c r="D524" s="2" t="s">
        <v>45</v>
      </c>
      <c r="E524" s="2" t="s">
        <v>46</v>
      </c>
      <c r="F524" s="2">
        <v>52</v>
      </c>
      <c r="G524" s="2" t="s">
        <v>78</v>
      </c>
      <c r="H524" s="3" t="s">
        <v>1570</v>
      </c>
      <c r="I524" s="2"/>
      <c r="J524" s="2" t="s">
        <v>8</v>
      </c>
      <c r="K524" s="2">
        <v>76684</v>
      </c>
      <c r="L524" s="2">
        <v>4</v>
      </c>
      <c r="M524" s="2">
        <v>1</v>
      </c>
      <c r="N524" s="2" t="s">
        <v>8</v>
      </c>
      <c r="O524" s="2">
        <v>34</v>
      </c>
      <c r="P524" s="2">
        <f ca="1">ROUND((IF(I524="",TODAY(),I524)-H524)/365,1)</f>
        <v>3.4</v>
      </c>
      <c r="Q524" s="2" t="str">
        <f t="shared" si="8"/>
        <v>Medium</v>
      </c>
    </row>
    <row r="525" spans="1:17" x14ac:dyDescent="0.35">
      <c r="A525" s="2" t="s">
        <v>1571</v>
      </c>
      <c r="B525" s="2" t="s">
        <v>1440</v>
      </c>
      <c r="C525" s="2" t="s">
        <v>12</v>
      </c>
      <c r="D525" s="2" t="s">
        <v>30</v>
      </c>
      <c r="E525" s="2" t="s">
        <v>46</v>
      </c>
      <c r="F525" s="2">
        <v>27</v>
      </c>
      <c r="G525" s="2" t="s">
        <v>78</v>
      </c>
      <c r="H525" s="3" t="s">
        <v>1572</v>
      </c>
      <c r="I525" s="2"/>
      <c r="J525" s="2" t="s">
        <v>8</v>
      </c>
      <c r="K525" s="2">
        <v>71976</v>
      </c>
      <c r="L525" s="2">
        <v>2</v>
      </c>
      <c r="M525" s="2">
        <v>4</v>
      </c>
      <c r="N525" s="2" t="s">
        <v>8</v>
      </c>
      <c r="O525" s="2">
        <v>9</v>
      </c>
      <c r="P525" s="2">
        <f ca="1">ROUND((IF(I525="",TODAY(),I525)-H525)/365,1)</f>
        <v>5.3</v>
      </c>
      <c r="Q525" s="2" t="str">
        <f t="shared" si="8"/>
        <v>Low</v>
      </c>
    </row>
    <row r="526" spans="1:17" x14ac:dyDescent="0.35">
      <c r="A526" s="2" t="s">
        <v>1573</v>
      </c>
      <c r="B526" s="2" t="s">
        <v>512</v>
      </c>
      <c r="C526" s="2" t="s">
        <v>5</v>
      </c>
      <c r="D526" s="2" t="s">
        <v>94</v>
      </c>
      <c r="E526" s="2" t="s">
        <v>46</v>
      </c>
      <c r="F526" s="2">
        <v>51</v>
      </c>
      <c r="G526" s="2" t="s">
        <v>32</v>
      </c>
      <c r="H526" s="3" t="s">
        <v>1574</v>
      </c>
      <c r="I526" s="2"/>
      <c r="J526" s="2" t="s">
        <v>8</v>
      </c>
      <c r="K526" s="2">
        <v>85786</v>
      </c>
      <c r="L526" s="2">
        <v>1</v>
      </c>
      <c r="M526" s="2">
        <v>5</v>
      </c>
      <c r="N526" s="2" t="s">
        <v>8</v>
      </c>
      <c r="O526" s="2">
        <v>30</v>
      </c>
      <c r="P526" s="2">
        <f ca="1">ROUND((IF(I526="",TODAY(),I526)-H526)/365,1)</f>
        <v>2</v>
      </c>
      <c r="Q526" s="2" t="str">
        <f t="shared" si="8"/>
        <v>Low</v>
      </c>
    </row>
    <row r="527" spans="1:17" x14ac:dyDescent="0.35">
      <c r="A527" s="2" t="s">
        <v>1575</v>
      </c>
      <c r="B527" s="2" t="s">
        <v>1282</v>
      </c>
      <c r="C527" s="2" t="s">
        <v>10</v>
      </c>
      <c r="D527" s="2" t="s">
        <v>111</v>
      </c>
      <c r="E527" s="2" t="s">
        <v>46</v>
      </c>
      <c r="F527" s="2">
        <v>26</v>
      </c>
      <c r="G527" s="2" t="s">
        <v>78</v>
      </c>
      <c r="H527" s="3" t="s">
        <v>1576</v>
      </c>
      <c r="I527" s="2"/>
      <c r="J527" s="2" t="s">
        <v>8</v>
      </c>
      <c r="K527" s="2">
        <v>63874</v>
      </c>
      <c r="L527" s="2">
        <v>5</v>
      </c>
      <c r="M527" s="2">
        <v>3</v>
      </c>
      <c r="N527" s="2" t="s">
        <v>8</v>
      </c>
      <c r="O527" s="2">
        <v>3</v>
      </c>
      <c r="P527" s="2">
        <f ca="1">ROUND((IF(I527="",TODAY(),I527)-H527)/365,1)</f>
        <v>7.3</v>
      </c>
      <c r="Q527" s="2" t="str">
        <f t="shared" si="8"/>
        <v>Low</v>
      </c>
    </row>
    <row r="528" spans="1:17" x14ac:dyDescent="0.35">
      <c r="A528" s="2" t="s">
        <v>1577</v>
      </c>
      <c r="B528" s="2" t="s">
        <v>1578</v>
      </c>
      <c r="C528" s="2" t="s">
        <v>12</v>
      </c>
      <c r="D528" s="2" t="s">
        <v>55</v>
      </c>
      <c r="E528" s="2" t="s">
        <v>31</v>
      </c>
      <c r="F528" s="2">
        <v>43</v>
      </c>
      <c r="G528" s="2" t="s">
        <v>78</v>
      </c>
      <c r="H528" s="3" t="s">
        <v>1579</v>
      </c>
      <c r="I528" s="2"/>
      <c r="J528" s="2" t="s">
        <v>8</v>
      </c>
      <c r="K528" s="2">
        <v>39544</v>
      </c>
      <c r="L528" s="2">
        <v>3</v>
      </c>
      <c r="M528" s="2">
        <v>5</v>
      </c>
      <c r="N528" s="2" t="s">
        <v>8</v>
      </c>
      <c r="O528" s="2">
        <v>4</v>
      </c>
      <c r="P528" s="2">
        <f ca="1">ROUND((IF(I528="",TODAY(),I528)-H528)/365,1)</f>
        <v>3.4</v>
      </c>
      <c r="Q528" s="2" t="str">
        <f t="shared" si="8"/>
        <v>Low</v>
      </c>
    </row>
    <row r="529" spans="1:17" x14ac:dyDescent="0.35">
      <c r="A529" s="2" t="s">
        <v>1580</v>
      </c>
      <c r="B529" s="2" t="s">
        <v>952</v>
      </c>
      <c r="C529" s="2" t="s">
        <v>11</v>
      </c>
      <c r="D529" s="2" t="s">
        <v>45</v>
      </c>
      <c r="E529" s="2" t="s">
        <v>46</v>
      </c>
      <c r="F529" s="2">
        <v>57</v>
      </c>
      <c r="G529" s="2" t="s">
        <v>56</v>
      </c>
      <c r="H529" s="3" t="s">
        <v>1581</v>
      </c>
      <c r="I529" s="3" t="s">
        <v>1582</v>
      </c>
      <c r="J529" s="2" t="s">
        <v>6</v>
      </c>
      <c r="K529" s="2">
        <v>56278</v>
      </c>
      <c r="L529" s="2">
        <v>2</v>
      </c>
      <c r="M529" s="2">
        <v>2</v>
      </c>
      <c r="N529" s="2" t="s">
        <v>6</v>
      </c>
      <c r="O529" s="2">
        <v>22</v>
      </c>
      <c r="P529" s="2">
        <f ca="1">ROUND((IF(I529="",TODAY(),I529)-H529)/365,1)</f>
        <v>2.8</v>
      </c>
      <c r="Q529" s="2" t="str">
        <f t="shared" si="8"/>
        <v>N/A</v>
      </c>
    </row>
    <row r="530" spans="1:17" x14ac:dyDescent="0.35">
      <c r="A530" s="2" t="s">
        <v>1583</v>
      </c>
      <c r="B530" s="2" t="s">
        <v>1584</v>
      </c>
      <c r="C530" s="2" t="s">
        <v>12</v>
      </c>
      <c r="D530" s="2" t="s">
        <v>55</v>
      </c>
      <c r="E530" s="2" t="s">
        <v>31</v>
      </c>
      <c r="F530" s="2">
        <v>44</v>
      </c>
      <c r="G530" s="2" t="s">
        <v>78</v>
      </c>
      <c r="H530" s="3" t="s">
        <v>1585</v>
      </c>
      <c r="I530" s="2"/>
      <c r="J530" s="2" t="s">
        <v>8</v>
      </c>
      <c r="K530" s="2">
        <v>33305</v>
      </c>
      <c r="L530" s="2">
        <v>3</v>
      </c>
      <c r="M530" s="2">
        <v>4</v>
      </c>
      <c r="N530" s="2" t="s">
        <v>6</v>
      </c>
      <c r="O530" s="2">
        <v>4</v>
      </c>
      <c r="P530" s="2">
        <f ca="1">ROUND((IF(I530="",TODAY(),I530)-H530)/365,1)</f>
        <v>1.5</v>
      </c>
      <c r="Q530" s="2" t="str">
        <f t="shared" si="8"/>
        <v>Medium</v>
      </c>
    </row>
    <row r="531" spans="1:17" x14ac:dyDescent="0.35">
      <c r="A531" s="2" t="s">
        <v>1586</v>
      </c>
      <c r="B531" s="2" t="s">
        <v>1587</v>
      </c>
      <c r="C531" s="2" t="s">
        <v>10</v>
      </c>
      <c r="D531" s="2" t="s">
        <v>70</v>
      </c>
      <c r="E531" s="2" t="s">
        <v>31</v>
      </c>
      <c r="F531" s="2">
        <v>56</v>
      </c>
      <c r="G531" s="2" t="s">
        <v>56</v>
      </c>
      <c r="H531" s="3" t="s">
        <v>1588</v>
      </c>
      <c r="I531" s="2"/>
      <c r="J531" s="2" t="s">
        <v>8</v>
      </c>
      <c r="K531" s="2">
        <v>148910</v>
      </c>
      <c r="L531" s="2">
        <v>3</v>
      </c>
      <c r="M531" s="2">
        <v>5</v>
      </c>
      <c r="N531" s="2" t="s">
        <v>6</v>
      </c>
      <c r="O531" s="2">
        <v>44</v>
      </c>
      <c r="P531" s="2">
        <f ca="1">ROUND((IF(I531="",TODAY(),I531)-H531)/365,1)</f>
        <v>1.5</v>
      </c>
      <c r="Q531" s="2" t="str">
        <f t="shared" si="8"/>
        <v>Medium</v>
      </c>
    </row>
    <row r="532" spans="1:17" x14ac:dyDescent="0.35">
      <c r="A532" s="2" t="s">
        <v>1589</v>
      </c>
      <c r="B532" s="2" t="s">
        <v>1590</v>
      </c>
      <c r="C532" s="2" t="s">
        <v>5</v>
      </c>
      <c r="D532" s="2" t="s">
        <v>94</v>
      </c>
      <c r="E532" s="2" t="s">
        <v>46</v>
      </c>
      <c r="F532" s="2">
        <v>47</v>
      </c>
      <c r="G532" s="2" t="s">
        <v>32</v>
      </c>
      <c r="H532" s="3" t="s">
        <v>1585</v>
      </c>
      <c r="I532" s="2"/>
      <c r="J532" s="2" t="s">
        <v>8</v>
      </c>
      <c r="K532" s="2">
        <v>61168</v>
      </c>
      <c r="L532" s="2">
        <v>1</v>
      </c>
      <c r="M532" s="2">
        <v>1</v>
      </c>
      <c r="N532" s="2" t="s">
        <v>6</v>
      </c>
      <c r="O532" s="2">
        <v>11</v>
      </c>
      <c r="P532" s="2">
        <f ca="1">ROUND((IF(I532="",TODAY(),I532)-H532)/365,1)</f>
        <v>1.5</v>
      </c>
      <c r="Q532" s="2" t="str">
        <f t="shared" si="8"/>
        <v>High</v>
      </c>
    </row>
    <row r="533" spans="1:17" x14ac:dyDescent="0.35">
      <c r="A533" s="2" t="s">
        <v>1591</v>
      </c>
      <c r="B533" s="2" t="s">
        <v>1592</v>
      </c>
      <c r="C533" s="2" t="s">
        <v>10</v>
      </c>
      <c r="D533" s="2" t="s">
        <v>111</v>
      </c>
      <c r="E533" s="2" t="s">
        <v>31</v>
      </c>
      <c r="F533" s="2">
        <v>40</v>
      </c>
      <c r="G533" s="2" t="s">
        <v>78</v>
      </c>
      <c r="H533" s="3" t="s">
        <v>1065</v>
      </c>
      <c r="I533" s="2"/>
      <c r="J533" s="2" t="s">
        <v>8</v>
      </c>
      <c r="K533" s="2">
        <v>70442</v>
      </c>
      <c r="L533" s="2">
        <v>2</v>
      </c>
      <c r="M533" s="2">
        <v>5</v>
      </c>
      <c r="N533" s="2" t="s">
        <v>8</v>
      </c>
      <c r="O533" s="2">
        <v>31</v>
      </c>
      <c r="P533" s="2">
        <f ca="1">ROUND((IF(I533="",TODAY(),I533)-H533)/365,1)</f>
        <v>6.9</v>
      </c>
      <c r="Q533" s="2" t="str">
        <f t="shared" si="8"/>
        <v>Low</v>
      </c>
    </row>
    <row r="534" spans="1:17" x14ac:dyDescent="0.35">
      <c r="A534" s="2" t="s">
        <v>1593</v>
      </c>
      <c r="B534" s="2" t="s">
        <v>798</v>
      </c>
      <c r="C534" s="2" t="s">
        <v>12</v>
      </c>
      <c r="D534" s="2" t="s">
        <v>30</v>
      </c>
      <c r="E534" s="2" t="s">
        <v>46</v>
      </c>
      <c r="F534" s="2">
        <v>23</v>
      </c>
      <c r="G534" s="2" t="s">
        <v>78</v>
      </c>
      <c r="H534" s="3" t="s">
        <v>1594</v>
      </c>
      <c r="I534" s="2"/>
      <c r="J534" s="2" t="s">
        <v>8</v>
      </c>
      <c r="K534" s="2">
        <v>100851</v>
      </c>
      <c r="L534" s="2">
        <v>3</v>
      </c>
      <c r="M534" s="2">
        <v>5</v>
      </c>
      <c r="N534" s="2" t="s">
        <v>8</v>
      </c>
      <c r="O534" s="2">
        <v>27</v>
      </c>
      <c r="P534" s="2">
        <f ca="1">ROUND((IF(I534="",TODAY(),I534)-H534)/365,1)</f>
        <v>1.8</v>
      </c>
      <c r="Q534" s="2" t="str">
        <f t="shared" si="8"/>
        <v>Low</v>
      </c>
    </row>
    <row r="535" spans="1:17" x14ac:dyDescent="0.35">
      <c r="A535" s="2" t="s">
        <v>1595</v>
      </c>
      <c r="B535" s="2" t="s">
        <v>1596</v>
      </c>
      <c r="C535" s="2" t="s">
        <v>9</v>
      </c>
      <c r="D535" s="2" t="s">
        <v>41</v>
      </c>
      <c r="E535" s="2" t="s">
        <v>46</v>
      </c>
      <c r="F535" s="2">
        <v>58</v>
      </c>
      <c r="G535" s="2" t="s">
        <v>78</v>
      </c>
      <c r="H535" s="3" t="s">
        <v>1597</v>
      </c>
      <c r="I535" s="2"/>
      <c r="J535" s="2" t="s">
        <v>8</v>
      </c>
      <c r="K535" s="2">
        <v>54724</v>
      </c>
      <c r="L535" s="2">
        <v>2</v>
      </c>
      <c r="M535" s="2">
        <v>3</v>
      </c>
      <c r="N535" s="2" t="s">
        <v>8</v>
      </c>
      <c r="O535" s="2">
        <v>17</v>
      </c>
      <c r="P535" s="2">
        <f ca="1">ROUND((IF(I535="",TODAY(),I535)-H535)/365,1)</f>
        <v>10.1</v>
      </c>
      <c r="Q535" s="2" t="str">
        <f t="shared" si="8"/>
        <v>Low</v>
      </c>
    </row>
    <row r="536" spans="1:17" x14ac:dyDescent="0.35">
      <c r="A536" s="2" t="s">
        <v>1598</v>
      </c>
      <c r="B536" s="2" t="s">
        <v>733</v>
      </c>
      <c r="C536" s="2" t="s">
        <v>9</v>
      </c>
      <c r="D536" s="2" t="s">
        <v>51</v>
      </c>
      <c r="E536" s="2" t="s">
        <v>31</v>
      </c>
      <c r="F536" s="2">
        <v>51</v>
      </c>
      <c r="G536" s="2" t="s">
        <v>32</v>
      </c>
      <c r="H536" s="3" t="s">
        <v>1599</v>
      </c>
      <c r="I536" s="2"/>
      <c r="J536" s="2" t="s">
        <v>8</v>
      </c>
      <c r="K536" s="2">
        <v>48891</v>
      </c>
      <c r="L536" s="2">
        <v>5</v>
      </c>
      <c r="M536" s="2">
        <v>2</v>
      </c>
      <c r="N536" s="2" t="s">
        <v>8</v>
      </c>
      <c r="O536" s="2">
        <v>19</v>
      </c>
      <c r="P536" s="2">
        <f ca="1">ROUND((IF(I536="",TODAY(),I536)-H536)/365,1)</f>
        <v>9.6999999999999993</v>
      </c>
      <c r="Q536" s="2" t="str">
        <f t="shared" si="8"/>
        <v>Medium</v>
      </c>
    </row>
    <row r="537" spans="1:17" x14ac:dyDescent="0.35">
      <c r="A537" s="2" t="s">
        <v>1600</v>
      </c>
      <c r="B537" s="2" t="s">
        <v>1601</v>
      </c>
      <c r="C537" s="2" t="s">
        <v>12</v>
      </c>
      <c r="D537" s="2" t="s">
        <v>55</v>
      </c>
      <c r="E537" s="2" t="s">
        <v>31</v>
      </c>
      <c r="F537" s="2">
        <v>29</v>
      </c>
      <c r="G537" s="2" t="s">
        <v>78</v>
      </c>
      <c r="H537" s="3" t="s">
        <v>1602</v>
      </c>
      <c r="I537" s="2"/>
      <c r="J537" s="2" t="s">
        <v>8</v>
      </c>
      <c r="K537" s="2">
        <v>59132</v>
      </c>
      <c r="L537" s="2">
        <v>2</v>
      </c>
      <c r="M537" s="2">
        <v>5</v>
      </c>
      <c r="N537" s="2" t="s">
        <v>8</v>
      </c>
      <c r="O537" s="2">
        <v>29</v>
      </c>
      <c r="P537" s="2">
        <f ca="1">ROUND((IF(I537="",TODAY(),I537)-H537)/365,1)</f>
        <v>11.2</v>
      </c>
      <c r="Q537" s="2" t="str">
        <f t="shared" si="8"/>
        <v>Low</v>
      </c>
    </row>
    <row r="538" spans="1:17" x14ac:dyDescent="0.35">
      <c r="A538" s="2" t="s">
        <v>1603</v>
      </c>
      <c r="B538" s="2" t="s">
        <v>1204</v>
      </c>
      <c r="C538" s="2" t="s">
        <v>11</v>
      </c>
      <c r="D538" s="2" t="s">
        <v>98</v>
      </c>
      <c r="E538" s="2" t="s">
        <v>31</v>
      </c>
      <c r="F538" s="2">
        <v>31</v>
      </c>
      <c r="G538" s="2" t="s">
        <v>32</v>
      </c>
      <c r="H538" s="3" t="s">
        <v>1604</v>
      </c>
      <c r="I538" s="2"/>
      <c r="J538" s="2" t="s">
        <v>8</v>
      </c>
      <c r="K538" s="2">
        <v>40923</v>
      </c>
      <c r="L538" s="2">
        <v>5</v>
      </c>
      <c r="M538" s="2">
        <v>2</v>
      </c>
      <c r="N538" s="2" t="s">
        <v>8</v>
      </c>
      <c r="O538" s="2">
        <v>20</v>
      </c>
      <c r="P538" s="2">
        <f ca="1">ROUND((IF(I538="",TODAY(),I538)-H538)/365,1)</f>
        <v>7.4</v>
      </c>
      <c r="Q538" s="2" t="str">
        <f t="shared" si="8"/>
        <v>Medium</v>
      </c>
    </row>
    <row r="539" spans="1:17" x14ac:dyDescent="0.35">
      <c r="A539" s="2" t="s">
        <v>1605</v>
      </c>
      <c r="B539" s="2" t="s">
        <v>1606</v>
      </c>
      <c r="C539" s="2" t="s">
        <v>10</v>
      </c>
      <c r="D539" s="2" t="s">
        <v>111</v>
      </c>
      <c r="E539" s="2" t="s">
        <v>46</v>
      </c>
      <c r="F539" s="2">
        <v>22</v>
      </c>
      <c r="G539" s="2" t="s">
        <v>78</v>
      </c>
      <c r="H539" s="3" t="s">
        <v>1067</v>
      </c>
      <c r="I539" s="2"/>
      <c r="J539" s="2" t="s">
        <v>8</v>
      </c>
      <c r="K539" s="2">
        <v>117464</v>
      </c>
      <c r="L539" s="2">
        <v>3</v>
      </c>
      <c r="M539" s="2">
        <v>5</v>
      </c>
      <c r="N539" s="2" t="s">
        <v>8</v>
      </c>
      <c r="O539" s="2">
        <v>42</v>
      </c>
      <c r="P539" s="2">
        <f ca="1">ROUND((IF(I539="",TODAY(),I539)-H539)/365,1)</f>
        <v>3.3</v>
      </c>
      <c r="Q539" s="2" t="str">
        <f t="shared" si="8"/>
        <v>Low</v>
      </c>
    </row>
    <row r="540" spans="1:17" x14ac:dyDescent="0.35">
      <c r="A540" s="2" t="s">
        <v>1607</v>
      </c>
      <c r="B540" s="2" t="s">
        <v>1608</v>
      </c>
      <c r="C540" s="2" t="s">
        <v>9</v>
      </c>
      <c r="D540" s="2" t="s">
        <v>77</v>
      </c>
      <c r="E540" s="2" t="s">
        <v>31</v>
      </c>
      <c r="F540" s="2">
        <v>43</v>
      </c>
      <c r="G540" s="2" t="s">
        <v>56</v>
      </c>
      <c r="H540" s="3" t="s">
        <v>1609</v>
      </c>
      <c r="I540" s="3" t="s">
        <v>1610</v>
      </c>
      <c r="J540" s="2" t="s">
        <v>6</v>
      </c>
      <c r="K540" s="2">
        <v>113867</v>
      </c>
      <c r="L540" s="2">
        <v>1</v>
      </c>
      <c r="M540" s="2">
        <v>4</v>
      </c>
      <c r="N540" s="2" t="s">
        <v>6</v>
      </c>
      <c r="O540" s="2">
        <v>9</v>
      </c>
      <c r="P540" s="2">
        <f ca="1">ROUND((IF(I540="",TODAY(),I540)-H540)/365,1)</f>
        <v>0.3</v>
      </c>
      <c r="Q540" s="2" t="str">
        <f t="shared" si="8"/>
        <v>N/A</v>
      </c>
    </row>
    <row r="541" spans="1:17" x14ac:dyDescent="0.35">
      <c r="A541" s="2" t="s">
        <v>1611</v>
      </c>
      <c r="B541" s="2" t="s">
        <v>776</v>
      </c>
      <c r="C541" s="2" t="s">
        <v>10</v>
      </c>
      <c r="D541" s="2" t="s">
        <v>70</v>
      </c>
      <c r="E541" s="2" t="s">
        <v>31</v>
      </c>
      <c r="F541" s="2">
        <v>27</v>
      </c>
      <c r="G541" s="2" t="s">
        <v>78</v>
      </c>
      <c r="H541" s="3" t="s">
        <v>1612</v>
      </c>
      <c r="I541" s="3" t="s">
        <v>1613</v>
      </c>
      <c r="J541" s="2" t="s">
        <v>6</v>
      </c>
      <c r="K541" s="2">
        <v>54116</v>
      </c>
      <c r="L541" s="2">
        <v>5</v>
      </c>
      <c r="M541" s="2">
        <v>2</v>
      </c>
      <c r="N541" s="2" t="s">
        <v>6</v>
      </c>
      <c r="O541" s="2">
        <v>34</v>
      </c>
      <c r="P541" s="2">
        <f ca="1">ROUND((IF(I541="",TODAY(),I541)-H541)/365,1)</f>
        <v>1.1000000000000001</v>
      </c>
      <c r="Q541" s="2" t="str">
        <f t="shared" si="8"/>
        <v>N/A</v>
      </c>
    </row>
    <row r="542" spans="1:17" x14ac:dyDescent="0.35">
      <c r="A542" s="2" t="s">
        <v>1614</v>
      </c>
      <c r="B542" s="2" t="s">
        <v>1615</v>
      </c>
      <c r="C542" s="2" t="s">
        <v>11</v>
      </c>
      <c r="D542" s="2" t="s">
        <v>66</v>
      </c>
      <c r="E542" s="2" t="s">
        <v>31</v>
      </c>
      <c r="F542" s="2">
        <v>34</v>
      </c>
      <c r="G542" s="2" t="s">
        <v>56</v>
      </c>
      <c r="H542" s="3" t="s">
        <v>367</v>
      </c>
      <c r="I542" s="2"/>
      <c r="J542" s="2" t="s">
        <v>8</v>
      </c>
      <c r="K542" s="2">
        <v>144071</v>
      </c>
      <c r="L542" s="2">
        <v>5</v>
      </c>
      <c r="M542" s="2">
        <v>5</v>
      </c>
      <c r="N542" s="2" t="s">
        <v>6</v>
      </c>
      <c r="O542" s="2">
        <v>4</v>
      </c>
      <c r="P542" s="2">
        <f ca="1">ROUND((IF(I542="",TODAY(),I542)-H542)/365,1)</f>
        <v>6.1</v>
      </c>
      <c r="Q542" s="2" t="str">
        <f t="shared" si="8"/>
        <v>Medium</v>
      </c>
    </row>
    <row r="543" spans="1:17" x14ac:dyDescent="0.35">
      <c r="A543" s="2" t="s">
        <v>1616</v>
      </c>
      <c r="B543" s="2" t="s">
        <v>1617</v>
      </c>
      <c r="C543" s="2" t="s">
        <v>7</v>
      </c>
      <c r="D543" s="2" t="s">
        <v>37</v>
      </c>
      <c r="E543" s="2" t="s">
        <v>46</v>
      </c>
      <c r="F543" s="2">
        <v>45</v>
      </c>
      <c r="G543" s="2" t="s">
        <v>56</v>
      </c>
      <c r="H543" s="3" t="s">
        <v>1618</v>
      </c>
      <c r="I543" s="3" t="s">
        <v>1619</v>
      </c>
      <c r="J543" s="2" t="s">
        <v>6</v>
      </c>
      <c r="K543" s="2">
        <v>139596</v>
      </c>
      <c r="L543" s="2">
        <v>3</v>
      </c>
      <c r="M543" s="2">
        <v>3</v>
      </c>
      <c r="N543" s="2" t="s">
        <v>6</v>
      </c>
      <c r="O543" s="2">
        <v>29</v>
      </c>
      <c r="P543" s="2">
        <f ca="1">ROUND((IF(I543="",TODAY(),I543)-H543)/365,1)</f>
        <v>10.1</v>
      </c>
      <c r="Q543" s="2" t="str">
        <f t="shared" si="8"/>
        <v>N/A</v>
      </c>
    </row>
    <row r="544" spans="1:17" x14ac:dyDescent="0.35">
      <c r="A544" s="2" t="s">
        <v>1620</v>
      </c>
      <c r="B544" s="2" t="s">
        <v>512</v>
      </c>
      <c r="C544" s="2" t="s">
        <v>12</v>
      </c>
      <c r="D544" s="2" t="s">
        <v>133</v>
      </c>
      <c r="E544" s="2" t="s">
        <v>46</v>
      </c>
      <c r="F544" s="2">
        <v>49</v>
      </c>
      <c r="G544" s="2" t="s">
        <v>32</v>
      </c>
      <c r="H544" s="3" t="s">
        <v>1621</v>
      </c>
      <c r="I544" s="3" t="s">
        <v>1622</v>
      </c>
      <c r="J544" s="2" t="s">
        <v>6</v>
      </c>
      <c r="K544" s="2">
        <v>36282</v>
      </c>
      <c r="L544" s="2">
        <v>5</v>
      </c>
      <c r="M544" s="2">
        <v>2</v>
      </c>
      <c r="N544" s="2" t="s">
        <v>8</v>
      </c>
      <c r="O544" s="2">
        <v>39</v>
      </c>
      <c r="P544" s="2">
        <f ca="1">ROUND((IF(I544="",TODAY(),I544)-H544)/365,1)</f>
        <v>2.8</v>
      </c>
      <c r="Q544" s="2" t="str">
        <f t="shared" si="8"/>
        <v>N/A</v>
      </c>
    </row>
    <row r="545" spans="1:17" x14ac:dyDescent="0.35">
      <c r="A545" s="2" t="s">
        <v>1623</v>
      </c>
      <c r="B545" s="2" t="s">
        <v>195</v>
      </c>
      <c r="C545" s="2" t="s">
        <v>11</v>
      </c>
      <c r="D545" s="2" t="s">
        <v>66</v>
      </c>
      <c r="E545" s="2" t="s">
        <v>31</v>
      </c>
      <c r="F545" s="2">
        <v>27</v>
      </c>
      <c r="G545" s="2" t="s">
        <v>78</v>
      </c>
      <c r="H545" s="3" t="s">
        <v>1624</v>
      </c>
      <c r="I545" s="2"/>
      <c r="J545" s="2" t="s">
        <v>8</v>
      </c>
      <c r="K545" s="2">
        <v>97851</v>
      </c>
      <c r="L545" s="2">
        <v>4</v>
      </c>
      <c r="M545" s="2">
        <v>3</v>
      </c>
      <c r="N545" s="2" t="s">
        <v>8</v>
      </c>
      <c r="O545" s="2">
        <v>12</v>
      </c>
      <c r="P545" s="2">
        <f ca="1">ROUND((IF(I545="",TODAY(),I545)-H545)/365,1)</f>
        <v>11.5</v>
      </c>
      <c r="Q545" s="2" t="str">
        <f t="shared" si="8"/>
        <v>Low</v>
      </c>
    </row>
    <row r="546" spans="1:17" x14ac:dyDescent="0.35">
      <c r="A546" s="2" t="s">
        <v>1625</v>
      </c>
      <c r="B546" s="2" t="s">
        <v>1626</v>
      </c>
      <c r="C546" s="2" t="s">
        <v>7</v>
      </c>
      <c r="D546" s="2" t="s">
        <v>155</v>
      </c>
      <c r="E546" s="2" t="s">
        <v>31</v>
      </c>
      <c r="F546" s="2">
        <v>57</v>
      </c>
      <c r="G546" s="2" t="s">
        <v>56</v>
      </c>
      <c r="H546" s="3" t="s">
        <v>1627</v>
      </c>
      <c r="I546" s="2"/>
      <c r="J546" s="2" t="s">
        <v>8</v>
      </c>
      <c r="K546" s="2">
        <v>89762</v>
      </c>
      <c r="L546" s="2">
        <v>5</v>
      </c>
      <c r="M546" s="2">
        <v>3</v>
      </c>
      <c r="N546" s="2" t="s">
        <v>6</v>
      </c>
      <c r="O546" s="2">
        <v>20</v>
      </c>
      <c r="P546" s="2">
        <f ca="1">ROUND((IF(I546="",TODAY(),I546)-H546)/365,1)</f>
        <v>6.1</v>
      </c>
      <c r="Q546" s="2" t="str">
        <f t="shared" si="8"/>
        <v>Medium</v>
      </c>
    </row>
    <row r="547" spans="1:17" x14ac:dyDescent="0.35">
      <c r="A547" s="2" t="s">
        <v>1628</v>
      </c>
      <c r="B547" s="2" t="s">
        <v>1629</v>
      </c>
      <c r="C547" s="2" t="s">
        <v>7</v>
      </c>
      <c r="D547" s="2" t="s">
        <v>155</v>
      </c>
      <c r="E547" s="2" t="s">
        <v>31</v>
      </c>
      <c r="F547" s="2">
        <v>41</v>
      </c>
      <c r="G547" s="2" t="s">
        <v>78</v>
      </c>
      <c r="H547" s="3" t="s">
        <v>963</v>
      </c>
      <c r="I547" s="2"/>
      <c r="J547" s="2" t="s">
        <v>8</v>
      </c>
      <c r="K547" s="2">
        <v>112282</v>
      </c>
      <c r="L547" s="2">
        <v>1</v>
      </c>
      <c r="M547" s="2">
        <v>4</v>
      </c>
      <c r="N547" s="2" t="s">
        <v>8</v>
      </c>
      <c r="O547" s="2">
        <v>42</v>
      </c>
      <c r="P547" s="2">
        <f ca="1">ROUND((IF(I547="",TODAY(),I547)-H547)/365,1)</f>
        <v>4.4000000000000004</v>
      </c>
      <c r="Q547" s="2" t="str">
        <f t="shared" si="8"/>
        <v>Low</v>
      </c>
    </row>
    <row r="548" spans="1:17" x14ac:dyDescent="0.35">
      <c r="A548" s="2" t="s">
        <v>1630</v>
      </c>
      <c r="B548" s="2" t="s">
        <v>1631</v>
      </c>
      <c r="C548" s="2" t="s">
        <v>10</v>
      </c>
      <c r="D548" s="2" t="s">
        <v>70</v>
      </c>
      <c r="E548" s="2" t="s">
        <v>31</v>
      </c>
      <c r="F548" s="2">
        <v>39</v>
      </c>
      <c r="G548" s="2" t="s">
        <v>78</v>
      </c>
      <c r="H548" s="3" t="s">
        <v>1632</v>
      </c>
      <c r="I548" s="2"/>
      <c r="J548" s="2" t="s">
        <v>8</v>
      </c>
      <c r="K548" s="2">
        <v>101161</v>
      </c>
      <c r="L548" s="2">
        <v>5</v>
      </c>
      <c r="M548" s="2">
        <v>1</v>
      </c>
      <c r="N548" s="2" t="s">
        <v>8</v>
      </c>
      <c r="O548" s="2">
        <v>24</v>
      </c>
      <c r="P548" s="2">
        <f ca="1">ROUND((IF(I548="",TODAY(),I548)-H548)/365,1)</f>
        <v>6.1</v>
      </c>
      <c r="Q548" s="2" t="str">
        <f t="shared" si="8"/>
        <v>Medium</v>
      </c>
    </row>
    <row r="549" spans="1:17" x14ac:dyDescent="0.35">
      <c r="A549" s="2" t="s">
        <v>1633</v>
      </c>
      <c r="B549" s="2" t="s">
        <v>1634</v>
      </c>
      <c r="C549" s="2" t="s">
        <v>9</v>
      </c>
      <c r="D549" s="2" t="s">
        <v>77</v>
      </c>
      <c r="E549" s="2" t="s">
        <v>46</v>
      </c>
      <c r="F549" s="2">
        <v>54</v>
      </c>
      <c r="G549" s="2" t="s">
        <v>32</v>
      </c>
      <c r="H549" s="3" t="s">
        <v>1635</v>
      </c>
      <c r="I549" s="2"/>
      <c r="J549" s="2" t="s">
        <v>8</v>
      </c>
      <c r="K549" s="2">
        <v>32669</v>
      </c>
      <c r="L549" s="2">
        <v>2</v>
      </c>
      <c r="M549" s="2">
        <v>3</v>
      </c>
      <c r="N549" s="2" t="s">
        <v>8</v>
      </c>
      <c r="O549" s="2">
        <v>38</v>
      </c>
      <c r="P549" s="2">
        <f ca="1">ROUND((IF(I549="",TODAY(),I549)-H549)/365,1)</f>
        <v>3.4</v>
      </c>
      <c r="Q549" s="2" t="str">
        <f t="shared" si="8"/>
        <v>Low</v>
      </c>
    </row>
    <row r="550" spans="1:17" x14ac:dyDescent="0.35">
      <c r="A550" s="2" t="s">
        <v>1636</v>
      </c>
      <c r="B550" s="2" t="s">
        <v>1637</v>
      </c>
      <c r="C550" s="2" t="s">
        <v>12</v>
      </c>
      <c r="D550" s="2" t="s">
        <v>30</v>
      </c>
      <c r="E550" s="2" t="s">
        <v>46</v>
      </c>
      <c r="F550" s="2">
        <v>39</v>
      </c>
      <c r="G550" s="2" t="s">
        <v>56</v>
      </c>
      <c r="H550" s="3" t="s">
        <v>1638</v>
      </c>
      <c r="I550" s="2"/>
      <c r="J550" s="2" t="s">
        <v>8</v>
      </c>
      <c r="K550" s="2">
        <v>63228</v>
      </c>
      <c r="L550" s="2">
        <v>1</v>
      </c>
      <c r="M550" s="2">
        <v>3</v>
      </c>
      <c r="N550" s="2" t="s">
        <v>8</v>
      </c>
      <c r="O550" s="2">
        <v>19</v>
      </c>
      <c r="P550" s="2">
        <f ca="1">ROUND((IF(I550="",TODAY(),I550)-H550)/365,1)</f>
        <v>7.6</v>
      </c>
      <c r="Q550" s="2" t="str">
        <f t="shared" si="8"/>
        <v>Low</v>
      </c>
    </row>
    <row r="551" spans="1:17" x14ac:dyDescent="0.35">
      <c r="A551" s="2" t="s">
        <v>1639</v>
      </c>
      <c r="B551" s="2" t="s">
        <v>1640</v>
      </c>
      <c r="C551" s="2" t="s">
        <v>5</v>
      </c>
      <c r="D551" s="2" t="s">
        <v>102</v>
      </c>
      <c r="E551" s="2" t="s">
        <v>31</v>
      </c>
      <c r="F551" s="2">
        <v>32</v>
      </c>
      <c r="G551" s="2" t="s">
        <v>56</v>
      </c>
      <c r="H551" s="3" t="s">
        <v>1641</v>
      </c>
      <c r="I551" s="2"/>
      <c r="J551" s="2" t="s">
        <v>8</v>
      </c>
      <c r="K551" s="2">
        <v>114842</v>
      </c>
      <c r="L551" s="2">
        <v>3</v>
      </c>
      <c r="M551" s="2">
        <v>3</v>
      </c>
      <c r="N551" s="2" t="s">
        <v>6</v>
      </c>
      <c r="O551" s="2">
        <v>18</v>
      </c>
      <c r="P551" s="2">
        <f ca="1">ROUND((IF(I551="",TODAY(),I551)-H551)/365,1)</f>
        <v>5.5</v>
      </c>
      <c r="Q551" s="2" t="str">
        <f t="shared" si="8"/>
        <v>Medium</v>
      </c>
    </row>
    <row r="552" spans="1:17" x14ac:dyDescent="0.35">
      <c r="A552" s="2" t="s">
        <v>1642</v>
      </c>
      <c r="B552" s="2" t="s">
        <v>1643</v>
      </c>
      <c r="C552" s="2" t="s">
        <v>5</v>
      </c>
      <c r="D552" s="2" t="s">
        <v>102</v>
      </c>
      <c r="E552" s="2" t="s">
        <v>46</v>
      </c>
      <c r="F552" s="2">
        <v>30</v>
      </c>
      <c r="G552" s="2" t="s">
        <v>32</v>
      </c>
      <c r="H552" s="3" t="s">
        <v>523</v>
      </c>
      <c r="I552" s="3" t="s">
        <v>1355</v>
      </c>
      <c r="J552" s="2" t="s">
        <v>6</v>
      </c>
      <c r="K552" s="2">
        <v>145705</v>
      </c>
      <c r="L552" s="2">
        <v>4</v>
      </c>
      <c r="M552" s="2">
        <v>4</v>
      </c>
      <c r="N552" s="2" t="s">
        <v>6</v>
      </c>
      <c r="O552" s="2">
        <v>22</v>
      </c>
      <c r="P552" s="2">
        <f ca="1">ROUND((IF(I552="",TODAY(),I552)-H552)/365,1)</f>
        <v>1.9</v>
      </c>
      <c r="Q552" s="2" t="str">
        <f t="shared" si="8"/>
        <v>N/A</v>
      </c>
    </row>
    <row r="553" spans="1:17" x14ac:dyDescent="0.35">
      <c r="A553" s="2" t="s">
        <v>1644</v>
      </c>
      <c r="B553" s="2" t="s">
        <v>1300</v>
      </c>
      <c r="C553" s="2" t="s">
        <v>11</v>
      </c>
      <c r="D553" s="2" t="s">
        <v>45</v>
      </c>
      <c r="E553" s="2" t="s">
        <v>31</v>
      </c>
      <c r="F553" s="2">
        <v>55</v>
      </c>
      <c r="G553" s="2" t="s">
        <v>32</v>
      </c>
      <c r="H553" s="3" t="s">
        <v>1645</v>
      </c>
      <c r="I553" s="3" t="s">
        <v>1646</v>
      </c>
      <c r="J553" s="2" t="s">
        <v>6</v>
      </c>
      <c r="K553" s="2">
        <v>85357</v>
      </c>
      <c r="L553" s="2">
        <v>1</v>
      </c>
      <c r="M553" s="2">
        <v>5</v>
      </c>
      <c r="N553" s="2" t="s">
        <v>8</v>
      </c>
      <c r="O553" s="2">
        <v>27</v>
      </c>
      <c r="P553" s="2">
        <f ca="1">ROUND((IF(I553="",TODAY(),I553)-H553)/365,1)</f>
        <v>0.5</v>
      </c>
      <c r="Q553" s="2" t="str">
        <f t="shared" si="8"/>
        <v>N/A</v>
      </c>
    </row>
    <row r="554" spans="1:17" x14ac:dyDescent="0.35">
      <c r="A554" s="2" t="s">
        <v>1647</v>
      </c>
      <c r="B554" s="2" t="s">
        <v>1648</v>
      </c>
      <c r="C554" s="2" t="s">
        <v>5</v>
      </c>
      <c r="D554" s="2" t="s">
        <v>207</v>
      </c>
      <c r="E554" s="2" t="s">
        <v>46</v>
      </c>
      <c r="F554" s="2">
        <v>30</v>
      </c>
      <c r="G554" s="2" t="s">
        <v>56</v>
      </c>
      <c r="H554" s="3" t="s">
        <v>1649</v>
      </c>
      <c r="I554" s="2"/>
      <c r="J554" s="2" t="s">
        <v>8</v>
      </c>
      <c r="K554" s="2">
        <v>47571</v>
      </c>
      <c r="L554" s="2">
        <v>5</v>
      </c>
      <c r="M554" s="2">
        <v>5</v>
      </c>
      <c r="N554" s="2" t="s">
        <v>8</v>
      </c>
      <c r="O554" s="2">
        <v>22</v>
      </c>
      <c r="P554" s="2">
        <f ca="1">ROUND((IF(I554="",TODAY(),I554)-H554)/365,1)</f>
        <v>2.4</v>
      </c>
      <c r="Q554" s="2" t="str">
        <f t="shared" si="8"/>
        <v>Low</v>
      </c>
    </row>
    <row r="555" spans="1:17" x14ac:dyDescent="0.35">
      <c r="A555" s="2" t="s">
        <v>1650</v>
      </c>
      <c r="B555" s="2" t="s">
        <v>1651</v>
      </c>
      <c r="C555" s="2" t="s">
        <v>12</v>
      </c>
      <c r="D555" s="2" t="s">
        <v>30</v>
      </c>
      <c r="E555" s="2" t="s">
        <v>31</v>
      </c>
      <c r="F555" s="2">
        <v>36</v>
      </c>
      <c r="G555" s="2" t="s">
        <v>32</v>
      </c>
      <c r="H555" s="3" t="s">
        <v>1652</v>
      </c>
      <c r="I555" s="3" t="s">
        <v>1653</v>
      </c>
      <c r="J555" s="2" t="s">
        <v>6</v>
      </c>
      <c r="K555" s="2">
        <v>115546</v>
      </c>
      <c r="L555" s="2">
        <v>1</v>
      </c>
      <c r="M555" s="2">
        <v>2</v>
      </c>
      <c r="N555" s="2" t="s">
        <v>6</v>
      </c>
      <c r="O555" s="2">
        <v>28</v>
      </c>
      <c r="P555" s="2">
        <f ca="1">ROUND((IF(I555="",TODAY(),I555)-H555)/365,1)</f>
        <v>5.6</v>
      </c>
      <c r="Q555" s="2" t="str">
        <f t="shared" si="8"/>
        <v>N/A</v>
      </c>
    </row>
    <row r="556" spans="1:17" x14ac:dyDescent="0.35">
      <c r="A556" s="2" t="s">
        <v>1654</v>
      </c>
      <c r="B556" s="2" t="s">
        <v>1655</v>
      </c>
      <c r="C556" s="2" t="s">
        <v>10</v>
      </c>
      <c r="D556" s="2" t="s">
        <v>111</v>
      </c>
      <c r="E556" s="2" t="s">
        <v>31</v>
      </c>
      <c r="F556" s="2">
        <v>54</v>
      </c>
      <c r="G556" s="2" t="s">
        <v>78</v>
      </c>
      <c r="H556" s="3" t="s">
        <v>1656</v>
      </c>
      <c r="I556" s="2"/>
      <c r="J556" s="2" t="s">
        <v>8</v>
      </c>
      <c r="K556" s="2">
        <v>33683</v>
      </c>
      <c r="L556" s="2">
        <v>3</v>
      </c>
      <c r="M556" s="2">
        <v>1</v>
      </c>
      <c r="N556" s="2" t="s">
        <v>6</v>
      </c>
      <c r="O556" s="2">
        <v>3</v>
      </c>
      <c r="P556" s="2">
        <f ca="1">ROUND((IF(I556="",TODAY(),I556)-H556)/365,1)</f>
        <v>5</v>
      </c>
      <c r="Q556" s="2" t="str">
        <f t="shared" si="8"/>
        <v>High</v>
      </c>
    </row>
    <row r="557" spans="1:17" x14ac:dyDescent="0.35">
      <c r="A557" s="2" t="s">
        <v>1657</v>
      </c>
      <c r="B557" s="2" t="s">
        <v>1658</v>
      </c>
      <c r="C557" s="2" t="s">
        <v>5</v>
      </c>
      <c r="D557" s="2" t="s">
        <v>94</v>
      </c>
      <c r="E557" s="2" t="s">
        <v>31</v>
      </c>
      <c r="F557" s="2">
        <v>33</v>
      </c>
      <c r="G557" s="2" t="s">
        <v>56</v>
      </c>
      <c r="H557" s="3" t="s">
        <v>1659</v>
      </c>
      <c r="I557" s="2"/>
      <c r="J557" s="2" t="s">
        <v>8</v>
      </c>
      <c r="K557" s="2">
        <v>149360</v>
      </c>
      <c r="L557" s="2">
        <v>2</v>
      </c>
      <c r="M557" s="2">
        <v>1</v>
      </c>
      <c r="N557" s="2" t="s">
        <v>8</v>
      </c>
      <c r="O557" s="2">
        <v>18</v>
      </c>
      <c r="P557" s="2">
        <f ca="1">ROUND((IF(I557="",TODAY(),I557)-H557)/365,1)</f>
        <v>4.0999999999999996</v>
      </c>
      <c r="Q557" s="2" t="str">
        <f t="shared" si="8"/>
        <v>Medium</v>
      </c>
    </row>
    <row r="558" spans="1:17" x14ac:dyDescent="0.35">
      <c r="A558" s="2" t="s">
        <v>1660</v>
      </c>
      <c r="B558" s="2" t="s">
        <v>299</v>
      </c>
      <c r="C558" s="2" t="s">
        <v>7</v>
      </c>
      <c r="D558" s="2" t="s">
        <v>37</v>
      </c>
      <c r="E558" s="2" t="s">
        <v>31</v>
      </c>
      <c r="F558" s="2">
        <v>26</v>
      </c>
      <c r="G558" s="2" t="s">
        <v>32</v>
      </c>
      <c r="H558" s="3" t="s">
        <v>1661</v>
      </c>
      <c r="I558" s="2"/>
      <c r="J558" s="2" t="s">
        <v>8</v>
      </c>
      <c r="K558" s="2">
        <v>118822</v>
      </c>
      <c r="L558" s="2">
        <v>5</v>
      </c>
      <c r="M558" s="2">
        <v>1</v>
      </c>
      <c r="N558" s="2" t="s">
        <v>8</v>
      </c>
      <c r="O558" s="2">
        <v>14</v>
      </c>
      <c r="P558" s="2">
        <f ca="1">ROUND((IF(I558="",TODAY(),I558)-H558)/365,1)</f>
        <v>10.5</v>
      </c>
      <c r="Q558" s="2" t="str">
        <f t="shared" si="8"/>
        <v>Medium</v>
      </c>
    </row>
    <row r="559" spans="1:17" x14ac:dyDescent="0.35">
      <c r="A559" s="2" t="s">
        <v>1662</v>
      </c>
      <c r="B559" s="2" t="s">
        <v>1663</v>
      </c>
      <c r="C559" s="2" t="s">
        <v>7</v>
      </c>
      <c r="D559" s="2" t="s">
        <v>37</v>
      </c>
      <c r="E559" s="2" t="s">
        <v>31</v>
      </c>
      <c r="F559" s="2">
        <v>54</v>
      </c>
      <c r="G559" s="2" t="s">
        <v>56</v>
      </c>
      <c r="H559" s="3" t="s">
        <v>1664</v>
      </c>
      <c r="I559" s="2"/>
      <c r="J559" s="2" t="s">
        <v>8</v>
      </c>
      <c r="K559" s="2">
        <v>82627</v>
      </c>
      <c r="L559" s="2">
        <v>5</v>
      </c>
      <c r="M559" s="2">
        <v>3</v>
      </c>
      <c r="N559" s="2" t="s">
        <v>8</v>
      </c>
      <c r="O559" s="2">
        <v>12</v>
      </c>
      <c r="P559" s="2">
        <f ca="1">ROUND((IF(I559="",TODAY(),I559)-H559)/365,1)</f>
        <v>2.1</v>
      </c>
      <c r="Q559" s="2" t="str">
        <f t="shared" si="8"/>
        <v>Low</v>
      </c>
    </row>
    <row r="560" spans="1:17" x14ac:dyDescent="0.35">
      <c r="A560" s="2" t="s">
        <v>1665</v>
      </c>
      <c r="B560" s="2" t="s">
        <v>1556</v>
      </c>
      <c r="C560" s="2" t="s">
        <v>7</v>
      </c>
      <c r="D560" s="2" t="s">
        <v>125</v>
      </c>
      <c r="E560" s="2" t="s">
        <v>46</v>
      </c>
      <c r="F560" s="2">
        <v>54</v>
      </c>
      <c r="G560" s="2" t="s">
        <v>56</v>
      </c>
      <c r="H560" s="3" t="s">
        <v>1666</v>
      </c>
      <c r="I560" s="3" t="s">
        <v>1667</v>
      </c>
      <c r="J560" s="2" t="s">
        <v>6</v>
      </c>
      <c r="K560" s="2">
        <v>39459</v>
      </c>
      <c r="L560" s="2">
        <v>1</v>
      </c>
      <c r="M560" s="2">
        <v>3</v>
      </c>
      <c r="N560" s="2" t="s">
        <v>8</v>
      </c>
      <c r="O560" s="2">
        <v>30</v>
      </c>
      <c r="P560" s="2">
        <f ca="1">ROUND((IF(I560="",TODAY(),I560)-H560)/365,1)</f>
        <v>8.6999999999999993</v>
      </c>
      <c r="Q560" s="2" t="str">
        <f t="shared" si="8"/>
        <v>N/A</v>
      </c>
    </row>
    <row r="561" spans="1:17" x14ac:dyDescent="0.35">
      <c r="A561" s="2" t="s">
        <v>1668</v>
      </c>
      <c r="B561" s="2" t="s">
        <v>306</v>
      </c>
      <c r="C561" s="2" t="s">
        <v>9</v>
      </c>
      <c r="D561" s="2" t="s">
        <v>77</v>
      </c>
      <c r="E561" s="2" t="s">
        <v>46</v>
      </c>
      <c r="F561" s="2">
        <v>27</v>
      </c>
      <c r="G561" s="2" t="s">
        <v>56</v>
      </c>
      <c r="H561" s="3" t="s">
        <v>1669</v>
      </c>
      <c r="I561" s="2"/>
      <c r="J561" s="2" t="s">
        <v>8</v>
      </c>
      <c r="K561" s="2">
        <v>103694</v>
      </c>
      <c r="L561" s="2">
        <v>3</v>
      </c>
      <c r="M561" s="2">
        <v>4</v>
      </c>
      <c r="N561" s="2" t="s">
        <v>8</v>
      </c>
      <c r="O561" s="2">
        <v>30</v>
      </c>
      <c r="P561" s="2">
        <f ca="1">ROUND((IF(I561="",TODAY(),I561)-H561)/365,1)</f>
        <v>7.9</v>
      </c>
      <c r="Q561" s="2" t="str">
        <f t="shared" si="8"/>
        <v>Low</v>
      </c>
    </row>
    <row r="562" spans="1:17" x14ac:dyDescent="0.35">
      <c r="A562" s="2" t="s">
        <v>1670</v>
      </c>
      <c r="B562" s="2" t="s">
        <v>1671</v>
      </c>
      <c r="C562" s="2" t="s">
        <v>10</v>
      </c>
      <c r="D562" s="2" t="s">
        <v>111</v>
      </c>
      <c r="E562" s="2" t="s">
        <v>46</v>
      </c>
      <c r="F562" s="2">
        <v>34</v>
      </c>
      <c r="G562" s="2" t="s">
        <v>56</v>
      </c>
      <c r="H562" s="3" t="s">
        <v>1672</v>
      </c>
      <c r="I562" s="2"/>
      <c r="J562" s="2" t="s">
        <v>8</v>
      </c>
      <c r="K562" s="2">
        <v>26675</v>
      </c>
      <c r="L562" s="2">
        <v>3</v>
      </c>
      <c r="M562" s="2">
        <v>4</v>
      </c>
      <c r="N562" s="2" t="s">
        <v>6</v>
      </c>
      <c r="O562" s="2">
        <v>12</v>
      </c>
      <c r="P562" s="2">
        <f ca="1">ROUND((IF(I562="",TODAY(),I562)-H562)/365,1)</f>
        <v>2</v>
      </c>
      <c r="Q562" s="2" t="str">
        <f t="shared" si="8"/>
        <v>Medium</v>
      </c>
    </row>
    <row r="563" spans="1:17" x14ac:dyDescent="0.35">
      <c r="A563" s="2" t="s">
        <v>1673</v>
      </c>
      <c r="B563" s="2" t="s">
        <v>1674</v>
      </c>
      <c r="C563" s="2" t="s">
        <v>5</v>
      </c>
      <c r="D563" s="2" t="s">
        <v>207</v>
      </c>
      <c r="E563" s="2" t="s">
        <v>46</v>
      </c>
      <c r="F563" s="2">
        <v>29</v>
      </c>
      <c r="G563" s="2" t="s">
        <v>78</v>
      </c>
      <c r="H563" s="3" t="s">
        <v>1675</v>
      </c>
      <c r="I563" s="2"/>
      <c r="J563" s="2" t="s">
        <v>8</v>
      </c>
      <c r="K563" s="2">
        <v>33481</v>
      </c>
      <c r="L563" s="2">
        <v>1</v>
      </c>
      <c r="M563" s="2">
        <v>5</v>
      </c>
      <c r="N563" s="2" t="s">
        <v>8</v>
      </c>
      <c r="O563" s="2">
        <v>11</v>
      </c>
      <c r="P563" s="2">
        <f ca="1">ROUND((IF(I563="",TODAY(),I563)-H563)/365,1)</f>
        <v>10</v>
      </c>
      <c r="Q563" s="2" t="str">
        <f t="shared" si="8"/>
        <v>Low</v>
      </c>
    </row>
    <row r="564" spans="1:17" x14ac:dyDescent="0.35">
      <c r="A564" s="2" t="s">
        <v>1676</v>
      </c>
      <c r="B564" s="2" t="s">
        <v>1677</v>
      </c>
      <c r="C564" s="2" t="s">
        <v>9</v>
      </c>
      <c r="D564" s="2" t="s">
        <v>51</v>
      </c>
      <c r="E564" s="2" t="s">
        <v>46</v>
      </c>
      <c r="F564" s="2">
        <v>49</v>
      </c>
      <c r="G564" s="2" t="s">
        <v>56</v>
      </c>
      <c r="H564" s="3" t="s">
        <v>1295</v>
      </c>
      <c r="I564" s="2"/>
      <c r="J564" s="2" t="s">
        <v>8</v>
      </c>
      <c r="K564" s="2">
        <v>124130</v>
      </c>
      <c r="L564" s="2">
        <v>5</v>
      </c>
      <c r="M564" s="2">
        <v>5</v>
      </c>
      <c r="N564" s="2" t="s">
        <v>8</v>
      </c>
      <c r="O564" s="2">
        <v>18</v>
      </c>
      <c r="P564" s="2">
        <f ca="1">ROUND((IF(I564="",TODAY(),I564)-H564)/365,1)</f>
        <v>3.5</v>
      </c>
      <c r="Q564" s="2" t="str">
        <f t="shared" si="8"/>
        <v>Low</v>
      </c>
    </row>
    <row r="565" spans="1:17" x14ac:dyDescent="0.35">
      <c r="A565" s="2" t="s">
        <v>1678</v>
      </c>
      <c r="B565" s="2" t="s">
        <v>1679</v>
      </c>
      <c r="C565" s="2" t="s">
        <v>9</v>
      </c>
      <c r="D565" s="2" t="s">
        <v>41</v>
      </c>
      <c r="E565" s="2" t="s">
        <v>46</v>
      </c>
      <c r="F565" s="2">
        <v>39</v>
      </c>
      <c r="G565" s="2" t="s">
        <v>78</v>
      </c>
      <c r="H565" s="3" t="s">
        <v>1680</v>
      </c>
      <c r="I565" s="3" t="s">
        <v>241</v>
      </c>
      <c r="J565" s="2" t="s">
        <v>6</v>
      </c>
      <c r="K565" s="2">
        <v>89138</v>
      </c>
      <c r="L565" s="2">
        <v>1</v>
      </c>
      <c r="M565" s="2">
        <v>1</v>
      </c>
      <c r="N565" s="2" t="s">
        <v>8</v>
      </c>
      <c r="O565" s="2">
        <v>17</v>
      </c>
      <c r="P565" s="2">
        <f ca="1">ROUND((IF(I565="",TODAY(),I565)-H565)/365,1)</f>
        <v>1.7</v>
      </c>
      <c r="Q565" s="2" t="str">
        <f t="shared" si="8"/>
        <v>N/A</v>
      </c>
    </row>
    <row r="566" spans="1:17" x14ac:dyDescent="0.35">
      <c r="A566" s="2" t="s">
        <v>1681</v>
      </c>
      <c r="B566" s="2" t="s">
        <v>303</v>
      </c>
      <c r="C566" s="2" t="s">
        <v>5</v>
      </c>
      <c r="D566" s="2" t="s">
        <v>94</v>
      </c>
      <c r="E566" s="2" t="s">
        <v>31</v>
      </c>
      <c r="F566" s="2">
        <v>23</v>
      </c>
      <c r="G566" s="2" t="s">
        <v>56</v>
      </c>
      <c r="H566" s="3" t="s">
        <v>1682</v>
      </c>
      <c r="I566" s="3" t="s">
        <v>1683</v>
      </c>
      <c r="J566" s="2" t="s">
        <v>6</v>
      </c>
      <c r="K566" s="2">
        <v>106522</v>
      </c>
      <c r="L566" s="2">
        <v>2</v>
      </c>
      <c r="M566" s="2">
        <v>3</v>
      </c>
      <c r="N566" s="2" t="s">
        <v>8</v>
      </c>
      <c r="O566" s="2">
        <v>20</v>
      </c>
      <c r="P566" s="2">
        <f ca="1">ROUND((IF(I566="",TODAY(),I566)-H566)/365,1)</f>
        <v>1</v>
      </c>
      <c r="Q566" s="2" t="str">
        <f t="shared" si="8"/>
        <v>N/A</v>
      </c>
    </row>
    <row r="567" spans="1:17" x14ac:dyDescent="0.35">
      <c r="A567" s="2" t="s">
        <v>1684</v>
      </c>
      <c r="B567" s="2" t="s">
        <v>1685</v>
      </c>
      <c r="C567" s="2" t="s">
        <v>12</v>
      </c>
      <c r="D567" s="2" t="s">
        <v>55</v>
      </c>
      <c r="E567" s="2" t="s">
        <v>46</v>
      </c>
      <c r="F567" s="2">
        <v>40</v>
      </c>
      <c r="G567" s="2" t="s">
        <v>56</v>
      </c>
      <c r="H567" s="3" t="s">
        <v>1686</v>
      </c>
      <c r="I567" s="2"/>
      <c r="J567" s="2" t="s">
        <v>8</v>
      </c>
      <c r="K567" s="2">
        <v>70038</v>
      </c>
      <c r="L567" s="2">
        <v>3</v>
      </c>
      <c r="M567" s="2">
        <v>5</v>
      </c>
      <c r="N567" s="2" t="s">
        <v>8</v>
      </c>
      <c r="O567" s="2">
        <v>35</v>
      </c>
      <c r="P567" s="2">
        <f ca="1">ROUND((IF(I567="",TODAY(),I567)-H567)/365,1)</f>
        <v>4.2</v>
      </c>
      <c r="Q567" s="2" t="str">
        <f t="shared" si="8"/>
        <v>Low</v>
      </c>
    </row>
    <row r="568" spans="1:17" x14ac:dyDescent="0.35">
      <c r="A568" s="2" t="s">
        <v>1687</v>
      </c>
      <c r="B568" s="2" t="s">
        <v>637</v>
      </c>
      <c r="C568" s="2" t="s">
        <v>5</v>
      </c>
      <c r="D568" s="2" t="s">
        <v>207</v>
      </c>
      <c r="E568" s="2" t="s">
        <v>31</v>
      </c>
      <c r="F568" s="2">
        <v>42</v>
      </c>
      <c r="G568" s="2" t="s">
        <v>56</v>
      </c>
      <c r="H568" s="3" t="s">
        <v>1688</v>
      </c>
      <c r="I568" s="2"/>
      <c r="J568" s="2" t="s">
        <v>8</v>
      </c>
      <c r="K568" s="2">
        <v>48182</v>
      </c>
      <c r="L568" s="2">
        <v>1</v>
      </c>
      <c r="M568" s="2">
        <v>4</v>
      </c>
      <c r="N568" s="2" t="s">
        <v>8</v>
      </c>
      <c r="O568" s="2">
        <v>3</v>
      </c>
      <c r="P568" s="2">
        <f ca="1">ROUND((IF(I568="",TODAY(),I568)-H568)/365,1)</f>
        <v>2</v>
      </c>
      <c r="Q568" s="2" t="str">
        <f t="shared" si="8"/>
        <v>Low</v>
      </c>
    </row>
    <row r="569" spans="1:17" x14ac:dyDescent="0.35">
      <c r="A569" s="2" t="s">
        <v>1689</v>
      </c>
      <c r="B569" s="2" t="s">
        <v>1690</v>
      </c>
      <c r="C569" s="2" t="s">
        <v>9</v>
      </c>
      <c r="D569" s="2" t="s">
        <v>77</v>
      </c>
      <c r="E569" s="2" t="s">
        <v>31</v>
      </c>
      <c r="F569" s="2">
        <v>30</v>
      </c>
      <c r="G569" s="2" t="s">
        <v>78</v>
      </c>
      <c r="H569" s="3" t="s">
        <v>1691</v>
      </c>
      <c r="I569" s="2"/>
      <c r="J569" s="2" t="s">
        <v>8</v>
      </c>
      <c r="K569" s="2">
        <v>113476</v>
      </c>
      <c r="L569" s="2">
        <v>1</v>
      </c>
      <c r="M569" s="2">
        <v>4</v>
      </c>
      <c r="N569" s="2" t="s">
        <v>8</v>
      </c>
      <c r="O569" s="2">
        <v>37</v>
      </c>
      <c r="P569" s="2">
        <f ca="1">ROUND((IF(I569="",TODAY(),I569)-H569)/365,1)</f>
        <v>8.1</v>
      </c>
      <c r="Q569" s="2" t="str">
        <f t="shared" si="8"/>
        <v>Low</v>
      </c>
    </row>
    <row r="570" spans="1:17" x14ac:dyDescent="0.35">
      <c r="A570" s="2" t="s">
        <v>1692</v>
      </c>
      <c r="B570" s="2" t="s">
        <v>874</v>
      </c>
      <c r="C570" s="2" t="s">
        <v>12</v>
      </c>
      <c r="D570" s="2" t="s">
        <v>55</v>
      </c>
      <c r="E570" s="2" t="s">
        <v>46</v>
      </c>
      <c r="F570" s="2">
        <v>32</v>
      </c>
      <c r="G570" s="2" t="s">
        <v>56</v>
      </c>
      <c r="H570" s="3" t="s">
        <v>1693</v>
      </c>
      <c r="I570" s="2"/>
      <c r="J570" s="2" t="s">
        <v>8</v>
      </c>
      <c r="K570" s="2">
        <v>74518</v>
      </c>
      <c r="L570" s="2">
        <v>4</v>
      </c>
      <c r="M570" s="2">
        <v>3</v>
      </c>
      <c r="N570" s="2" t="s">
        <v>6</v>
      </c>
      <c r="O570" s="2">
        <v>38</v>
      </c>
      <c r="P570" s="2">
        <f ca="1">ROUND((IF(I570="",TODAY(),I570)-H570)/365,1)</f>
        <v>5.9</v>
      </c>
      <c r="Q570" s="2" t="str">
        <f t="shared" si="8"/>
        <v>Medium</v>
      </c>
    </row>
    <row r="571" spans="1:17" x14ac:dyDescent="0.35">
      <c r="A571" s="2" t="s">
        <v>1694</v>
      </c>
      <c r="B571" s="2" t="s">
        <v>1695</v>
      </c>
      <c r="C571" s="2" t="s">
        <v>9</v>
      </c>
      <c r="D571" s="2" t="s">
        <v>41</v>
      </c>
      <c r="E571" s="2" t="s">
        <v>31</v>
      </c>
      <c r="F571" s="2">
        <v>24</v>
      </c>
      <c r="G571" s="2" t="s">
        <v>56</v>
      </c>
      <c r="H571" s="3" t="s">
        <v>1696</v>
      </c>
      <c r="I571" s="2"/>
      <c r="J571" s="2" t="s">
        <v>8</v>
      </c>
      <c r="K571" s="2">
        <v>125295</v>
      </c>
      <c r="L571" s="2">
        <v>5</v>
      </c>
      <c r="M571" s="2">
        <v>3</v>
      </c>
      <c r="N571" s="2" t="s">
        <v>8</v>
      </c>
      <c r="O571" s="2">
        <v>2</v>
      </c>
      <c r="P571" s="2">
        <f ca="1">ROUND((IF(I571="",TODAY(),I571)-H571)/365,1)</f>
        <v>10.199999999999999</v>
      </c>
      <c r="Q571" s="2" t="str">
        <f t="shared" si="8"/>
        <v>Low</v>
      </c>
    </row>
    <row r="572" spans="1:17" x14ac:dyDescent="0.35">
      <c r="A572" s="2" t="s">
        <v>1697</v>
      </c>
      <c r="B572" s="2" t="s">
        <v>1698</v>
      </c>
      <c r="C572" s="2" t="s">
        <v>5</v>
      </c>
      <c r="D572" s="2" t="s">
        <v>207</v>
      </c>
      <c r="E572" s="2" t="s">
        <v>46</v>
      </c>
      <c r="F572" s="2">
        <v>44</v>
      </c>
      <c r="G572" s="2" t="s">
        <v>56</v>
      </c>
      <c r="H572" s="3" t="s">
        <v>1699</v>
      </c>
      <c r="I572" s="3" t="s">
        <v>1700</v>
      </c>
      <c r="J572" s="2" t="s">
        <v>6</v>
      </c>
      <c r="K572" s="2">
        <v>65907</v>
      </c>
      <c r="L572" s="2">
        <v>2</v>
      </c>
      <c r="M572" s="2">
        <v>2</v>
      </c>
      <c r="N572" s="2" t="s">
        <v>8</v>
      </c>
      <c r="O572" s="2">
        <v>42</v>
      </c>
      <c r="P572" s="2">
        <f ca="1">ROUND((IF(I572="",TODAY(),I572)-H572)/365,1)</f>
        <v>7.9</v>
      </c>
      <c r="Q572" s="2" t="str">
        <f t="shared" si="8"/>
        <v>N/A</v>
      </c>
    </row>
    <row r="573" spans="1:17" x14ac:dyDescent="0.35">
      <c r="A573" s="2" t="s">
        <v>1701</v>
      </c>
      <c r="B573" s="2" t="s">
        <v>1702</v>
      </c>
      <c r="C573" s="2" t="s">
        <v>5</v>
      </c>
      <c r="D573" s="2" t="s">
        <v>207</v>
      </c>
      <c r="E573" s="2" t="s">
        <v>31</v>
      </c>
      <c r="F573" s="2">
        <v>23</v>
      </c>
      <c r="G573" s="2" t="s">
        <v>78</v>
      </c>
      <c r="H573" s="3" t="s">
        <v>1703</v>
      </c>
      <c r="I573" s="3" t="s">
        <v>48</v>
      </c>
      <c r="J573" s="2" t="s">
        <v>6</v>
      </c>
      <c r="K573" s="2">
        <v>92470</v>
      </c>
      <c r="L573" s="2">
        <v>4</v>
      </c>
      <c r="M573" s="2">
        <v>4</v>
      </c>
      <c r="N573" s="2" t="s">
        <v>6</v>
      </c>
      <c r="O573" s="2">
        <v>37</v>
      </c>
      <c r="P573" s="2">
        <f ca="1">ROUND((IF(I573="",TODAY(),I573)-H573)/365,1)</f>
        <v>4.0999999999999996</v>
      </c>
      <c r="Q573" s="2" t="str">
        <f t="shared" si="8"/>
        <v>N/A</v>
      </c>
    </row>
    <row r="574" spans="1:17" x14ac:dyDescent="0.35">
      <c r="A574" s="2" t="s">
        <v>1704</v>
      </c>
      <c r="B574" s="2" t="s">
        <v>1705</v>
      </c>
      <c r="C574" s="2" t="s">
        <v>10</v>
      </c>
      <c r="D574" s="2" t="s">
        <v>70</v>
      </c>
      <c r="E574" s="2" t="s">
        <v>31</v>
      </c>
      <c r="F574" s="2">
        <v>58</v>
      </c>
      <c r="G574" s="2" t="s">
        <v>56</v>
      </c>
      <c r="H574" s="3" t="s">
        <v>1706</v>
      </c>
      <c r="I574" s="3" t="s">
        <v>1707</v>
      </c>
      <c r="J574" s="2" t="s">
        <v>6</v>
      </c>
      <c r="K574" s="2">
        <v>115552</v>
      </c>
      <c r="L574" s="2">
        <v>4</v>
      </c>
      <c r="M574" s="2">
        <v>1</v>
      </c>
      <c r="N574" s="2" t="s">
        <v>6</v>
      </c>
      <c r="O574" s="2">
        <v>7</v>
      </c>
      <c r="P574" s="2">
        <f ca="1">ROUND((IF(I574="",TODAY(),I574)-H574)/365,1)</f>
        <v>5.7</v>
      </c>
      <c r="Q574" s="2" t="str">
        <f t="shared" si="8"/>
        <v>N/A</v>
      </c>
    </row>
    <row r="575" spans="1:17" x14ac:dyDescent="0.35">
      <c r="A575" s="2" t="s">
        <v>1708</v>
      </c>
      <c r="B575" s="2" t="s">
        <v>1709</v>
      </c>
      <c r="C575" s="2" t="s">
        <v>11</v>
      </c>
      <c r="D575" s="2" t="s">
        <v>98</v>
      </c>
      <c r="E575" s="2" t="s">
        <v>46</v>
      </c>
      <c r="F575" s="2">
        <v>41</v>
      </c>
      <c r="G575" s="2" t="s">
        <v>32</v>
      </c>
      <c r="H575" s="3" t="s">
        <v>1710</v>
      </c>
      <c r="I575" s="2"/>
      <c r="J575" s="2" t="s">
        <v>8</v>
      </c>
      <c r="K575" s="2">
        <v>136061</v>
      </c>
      <c r="L575" s="2">
        <v>4</v>
      </c>
      <c r="M575" s="2">
        <v>2</v>
      </c>
      <c r="N575" s="2" t="s">
        <v>8</v>
      </c>
      <c r="O575" s="2">
        <v>41</v>
      </c>
      <c r="P575" s="2">
        <f ca="1">ROUND((IF(I575="",TODAY(),I575)-H575)/365,1)</f>
        <v>7.5</v>
      </c>
      <c r="Q575" s="2" t="str">
        <f t="shared" si="8"/>
        <v>Medium</v>
      </c>
    </row>
    <row r="576" spans="1:17" x14ac:dyDescent="0.35">
      <c r="A576" s="2" t="s">
        <v>1711</v>
      </c>
      <c r="B576" s="2" t="s">
        <v>1712</v>
      </c>
      <c r="C576" s="2" t="s">
        <v>11</v>
      </c>
      <c r="D576" s="2" t="s">
        <v>45</v>
      </c>
      <c r="E576" s="2" t="s">
        <v>46</v>
      </c>
      <c r="F576" s="2">
        <v>41</v>
      </c>
      <c r="G576" s="2" t="s">
        <v>56</v>
      </c>
      <c r="H576" s="3" t="s">
        <v>1713</v>
      </c>
      <c r="I576" s="3" t="s">
        <v>1714</v>
      </c>
      <c r="J576" s="2" t="s">
        <v>6</v>
      </c>
      <c r="K576" s="2">
        <v>119071</v>
      </c>
      <c r="L576" s="2">
        <v>5</v>
      </c>
      <c r="M576" s="2">
        <v>2</v>
      </c>
      <c r="N576" s="2" t="s">
        <v>8</v>
      </c>
      <c r="O576" s="2">
        <v>6</v>
      </c>
      <c r="P576" s="2">
        <f ca="1">ROUND((IF(I576="",TODAY(),I576)-H576)/365,1)</f>
        <v>2.1</v>
      </c>
      <c r="Q576" s="2" t="str">
        <f t="shared" si="8"/>
        <v>N/A</v>
      </c>
    </row>
    <row r="577" spans="1:17" x14ac:dyDescent="0.35">
      <c r="A577" s="2" t="s">
        <v>1715</v>
      </c>
      <c r="B577" s="2" t="s">
        <v>1556</v>
      </c>
      <c r="C577" s="2" t="s">
        <v>9</v>
      </c>
      <c r="D577" s="2" t="s">
        <v>51</v>
      </c>
      <c r="E577" s="2" t="s">
        <v>46</v>
      </c>
      <c r="F577" s="2">
        <v>44</v>
      </c>
      <c r="G577" s="2" t="s">
        <v>56</v>
      </c>
      <c r="H577" s="3" t="s">
        <v>1716</v>
      </c>
      <c r="I577" s="2"/>
      <c r="J577" s="2" t="s">
        <v>8</v>
      </c>
      <c r="K577" s="2">
        <v>81742</v>
      </c>
      <c r="L577" s="2">
        <v>5</v>
      </c>
      <c r="M577" s="2">
        <v>3</v>
      </c>
      <c r="N577" s="2" t="s">
        <v>6</v>
      </c>
      <c r="O577" s="2">
        <v>20</v>
      </c>
      <c r="P577" s="2">
        <f ca="1">ROUND((IF(I577="",TODAY(),I577)-H577)/365,1)</f>
        <v>2.7</v>
      </c>
      <c r="Q577" s="2" t="str">
        <f t="shared" si="8"/>
        <v>Medium</v>
      </c>
    </row>
    <row r="578" spans="1:17" x14ac:dyDescent="0.35">
      <c r="A578" s="2" t="s">
        <v>1717</v>
      </c>
      <c r="B578" s="2" t="s">
        <v>576</v>
      </c>
      <c r="C578" s="2" t="s">
        <v>7</v>
      </c>
      <c r="D578" s="2" t="s">
        <v>125</v>
      </c>
      <c r="E578" s="2" t="s">
        <v>46</v>
      </c>
      <c r="F578" s="2">
        <v>54</v>
      </c>
      <c r="G578" s="2" t="s">
        <v>56</v>
      </c>
      <c r="H578" s="3" t="s">
        <v>1718</v>
      </c>
      <c r="I578" s="2"/>
      <c r="J578" s="2" t="s">
        <v>8</v>
      </c>
      <c r="K578" s="2">
        <v>107292</v>
      </c>
      <c r="L578" s="2">
        <v>2</v>
      </c>
      <c r="M578" s="2">
        <v>5</v>
      </c>
      <c r="N578" s="2" t="s">
        <v>8</v>
      </c>
      <c r="O578" s="2">
        <v>2</v>
      </c>
      <c r="P578" s="2">
        <f ca="1">ROUND((IF(I578="",TODAY(),I578)-H578)/365,1)</f>
        <v>6.5</v>
      </c>
      <c r="Q578" s="2" t="str">
        <f t="shared" ref="Q578:Q641" si="9">IF(J578="No",IF(AND(M578&lt;=2,N578="Yes"),"High",IF(OR(M578&lt;=2,N578="Yes"),"Medium","Low")),"N/A")</f>
        <v>Low</v>
      </c>
    </row>
    <row r="579" spans="1:17" x14ac:dyDescent="0.35">
      <c r="A579" s="2" t="s">
        <v>1719</v>
      </c>
      <c r="B579" s="2" t="s">
        <v>1720</v>
      </c>
      <c r="C579" s="2" t="s">
        <v>7</v>
      </c>
      <c r="D579" s="2" t="s">
        <v>37</v>
      </c>
      <c r="E579" s="2" t="s">
        <v>46</v>
      </c>
      <c r="F579" s="2">
        <v>39</v>
      </c>
      <c r="G579" s="2" t="s">
        <v>56</v>
      </c>
      <c r="H579" s="3" t="s">
        <v>1721</v>
      </c>
      <c r="I579" s="3" t="s">
        <v>1722</v>
      </c>
      <c r="J579" s="2" t="s">
        <v>6</v>
      </c>
      <c r="K579" s="2">
        <v>120238</v>
      </c>
      <c r="L579" s="2">
        <v>4</v>
      </c>
      <c r="M579" s="2">
        <v>5</v>
      </c>
      <c r="N579" s="2" t="s">
        <v>8</v>
      </c>
      <c r="O579" s="2">
        <v>37</v>
      </c>
      <c r="P579" s="2">
        <f ca="1">ROUND((IF(I579="",TODAY(),I579)-H579)/365,1)</f>
        <v>1.3</v>
      </c>
      <c r="Q579" s="2" t="str">
        <f t="shared" si="9"/>
        <v>N/A</v>
      </c>
    </row>
    <row r="580" spans="1:17" x14ac:dyDescent="0.35">
      <c r="A580" s="2" t="s">
        <v>1723</v>
      </c>
      <c r="B580" s="2" t="s">
        <v>1724</v>
      </c>
      <c r="C580" s="2" t="s">
        <v>9</v>
      </c>
      <c r="D580" s="2" t="s">
        <v>41</v>
      </c>
      <c r="E580" s="2" t="s">
        <v>31</v>
      </c>
      <c r="F580" s="2">
        <v>41</v>
      </c>
      <c r="G580" s="2" t="s">
        <v>78</v>
      </c>
      <c r="H580" s="3" t="s">
        <v>1725</v>
      </c>
      <c r="I580" s="2"/>
      <c r="J580" s="2" t="s">
        <v>8</v>
      </c>
      <c r="K580" s="2">
        <v>51680</v>
      </c>
      <c r="L580" s="2">
        <v>1</v>
      </c>
      <c r="M580" s="2">
        <v>3</v>
      </c>
      <c r="N580" s="2" t="s">
        <v>8</v>
      </c>
      <c r="O580" s="2">
        <v>41</v>
      </c>
      <c r="P580" s="2">
        <f ca="1">ROUND((IF(I580="",TODAY(),I580)-H580)/365,1)</f>
        <v>2.1</v>
      </c>
      <c r="Q580" s="2" t="str">
        <f t="shared" si="9"/>
        <v>Low</v>
      </c>
    </row>
    <row r="581" spans="1:17" x14ac:dyDescent="0.35">
      <c r="A581" s="2" t="s">
        <v>1726</v>
      </c>
      <c r="B581" s="2" t="s">
        <v>1727</v>
      </c>
      <c r="C581" s="2" t="s">
        <v>9</v>
      </c>
      <c r="D581" s="2" t="s">
        <v>77</v>
      </c>
      <c r="E581" s="2" t="s">
        <v>31</v>
      </c>
      <c r="F581" s="2">
        <v>37</v>
      </c>
      <c r="G581" s="2" t="s">
        <v>78</v>
      </c>
      <c r="H581" s="3" t="s">
        <v>1454</v>
      </c>
      <c r="I581" s="2"/>
      <c r="J581" s="2" t="s">
        <v>8</v>
      </c>
      <c r="K581" s="2">
        <v>57189</v>
      </c>
      <c r="L581" s="2">
        <v>2</v>
      </c>
      <c r="M581" s="2">
        <v>2</v>
      </c>
      <c r="N581" s="2" t="s">
        <v>6</v>
      </c>
      <c r="O581" s="2">
        <v>2</v>
      </c>
      <c r="P581" s="2">
        <f ca="1">ROUND((IF(I581="",TODAY(),I581)-H581)/365,1)</f>
        <v>7.1</v>
      </c>
      <c r="Q581" s="2" t="str">
        <f t="shared" si="9"/>
        <v>High</v>
      </c>
    </row>
    <row r="582" spans="1:17" x14ac:dyDescent="0.35">
      <c r="A582" s="2" t="s">
        <v>1728</v>
      </c>
      <c r="B582" s="2" t="s">
        <v>488</v>
      </c>
      <c r="C582" s="2" t="s">
        <v>11</v>
      </c>
      <c r="D582" s="2" t="s">
        <v>66</v>
      </c>
      <c r="E582" s="2" t="s">
        <v>46</v>
      </c>
      <c r="F582" s="2">
        <v>32</v>
      </c>
      <c r="G582" s="2" t="s">
        <v>32</v>
      </c>
      <c r="H582" s="3" t="s">
        <v>597</v>
      </c>
      <c r="I582" s="2"/>
      <c r="J582" s="2" t="s">
        <v>8</v>
      </c>
      <c r="K582" s="2">
        <v>97182</v>
      </c>
      <c r="L582" s="2">
        <v>3</v>
      </c>
      <c r="M582" s="2">
        <v>3</v>
      </c>
      <c r="N582" s="2" t="s">
        <v>6</v>
      </c>
      <c r="O582" s="2">
        <v>43</v>
      </c>
      <c r="P582" s="2">
        <f ca="1">ROUND((IF(I582="",TODAY(),I582)-H582)/365,1)</f>
        <v>8.6</v>
      </c>
      <c r="Q582" s="2" t="str">
        <f t="shared" si="9"/>
        <v>Medium</v>
      </c>
    </row>
    <row r="583" spans="1:17" x14ac:dyDescent="0.35">
      <c r="A583" s="2" t="s">
        <v>1729</v>
      </c>
      <c r="B583" s="2" t="s">
        <v>1730</v>
      </c>
      <c r="C583" s="2" t="s">
        <v>5</v>
      </c>
      <c r="D583" s="2" t="s">
        <v>102</v>
      </c>
      <c r="E583" s="2" t="s">
        <v>46</v>
      </c>
      <c r="F583" s="2">
        <v>27</v>
      </c>
      <c r="G583" s="2" t="s">
        <v>56</v>
      </c>
      <c r="H583" s="3" t="s">
        <v>1731</v>
      </c>
      <c r="I583" s="2"/>
      <c r="J583" s="2" t="s">
        <v>8</v>
      </c>
      <c r="K583" s="2">
        <v>113037</v>
      </c>
      <c r="L583" s="2">
        <v>4</v>
      </c>
      <c r="M583" s="2">
        <v>1</v>
      </c>
      <c r="N583" s="2" t="s">
        <v>8</v>
      </c>
      <c r="O583" s="2">
        <v>24</v>
      </c>
      <c r="P583" s="2">
        <f ca="1">ROUND((IF(I583="",TODAY(),I583)-H583)/365,1)</f>
        <v>8.1</v>
      </c>
      <c r="Q583" s="2" t="str">
        <f t="shared" si="9"/>
        <v>Medium</v>
      </c>
    </row>
    <row r="584" spans="1:17" x14ac:dyDescent="0.35">
      <c r="A584" s="2" t="s">
        <v>1732</v>
      </c>
      <c r="B584" s="2" t="s">
        <v>1733</v>
      </c>
      <c r="C584" s="2" t="s">
        <v>10</v>
      </c>
      <c r="D584" s="2" t="s">
        <v>70</v>
      </c>
      <c r="E584" s="2" t="s">
        <v>31</v>
      </c>
      <c r="F584" s="2">
        <v>58</v>
      </c>
      <c r="G584" s="2" t="s">
        <v>56</v>
      </c>
      <c r="H584" s="3" t="s">
        <v>1734</v>
      </c>
      <c r="I584" s="2"/>
      <c r="J584" s="2" t="s">
        <v>8</v>
      </c>
      <c r="K584" s="2">
        <v>133656</v>
      </c>
      <c r="L584" s="2">
        <v>5</v>
      </c>
      <c r="M584" s="2">
        <v>1</v>
      </c>
      <c r="N584" s="2" t="s">
        <v>8</v>
      </c>
      <c r="O584" s="2">
        <v>43</v>
      </c>
      <c r="P584" s="2">
        <f ca="1">ROUND((IF(I584="",TODAY(),I584)-H584)/365,1)</f>
        <v>3.4</v>
      </c>
      <c r="Q584" s="2" t="str">
        <f t="shared" si="9"/>
        <v>Medium</v>
      </c>
    </row>
    <row r="585" spans="1:17" x14ac:dyDescent="0.35">
      <c r="A585" s="2" t="s">
        <v>1735</v>
      </c>
      <c r="B585" s="2" t="s">
        <v>1736</v>
      </c>
      <c r="C585" s="2" t="s">
        <v>11</v>
      </c>
      <c r="D585" s="2" t="s">
        <v>66</v>
      </c>
      <c r="E585" s="2" t="s">
        <v>46</v>
      </c>
      <c r="F585" s="2">
        <v>29</v>
      </c>
      <c r="G585" s="2" t="s">
        <v>56</v>
      </c>
      <c r="H585" s="3" t="s">
        <v>1737</v>
      </c>
      <c r="I585" s="2"/>
      <c r="J585" s="2" t="s">
        <v>8</v>
      </c>
      <c r="K585" s="2">
        <v>130623</v>
      </c>
      <c r="L585" s="2">
        <v>5</v>
      </c>
      <c r="M585" s="2">
        <v>3</v>
      </c>
      <c r="N585" s="2" t="s">
        <v>8</v>
      </c>
      <c r="O585" s="2">
        <v>25</v>
      </c>
      <c r="P585" s="2">
        <f ca="1">ROUND((IF(I585="",TODAY(),I585)-H585)/365,1)</f>
        <v>2.9</v>
      </c>
      <c r="Q585" s="2" t="str">
        <f t="shared" si="9"/>
        <v>Low</v>
      </c>
    </row>
    <row r="586" spans="1:17" x14ac:dyDescent="0.35">
      <c r="A586" s="2" t="s">
        <v>1738</v>
      </c>
      <c r="B586" s="2" t="s">
        <v>1502</v>
      </c>
      <c r="C586" s="2" t="s">
        <v>10</v>
      </c>
      <c r="D586" s="2" t="s">
        <v>111</v>
      </c>
      <c r="E586" s="2" t="s">
        <v>31</v>
      </c>
      <c r="F586" s="2">
        <v>35</v>
      </c>
      <c r="G586" s="2" t="s">
        <v>56</v>
      </c>
      <c r="H586" s="3" t="s">
        <v>1739</v>
      </c>
      <c r="I586" s="2"/>
      <c r="J586" s="2" t="s">
        <v>8</v>
      </c>
      <c r="K586" s="2">
        <v>89272</v>
      </c>
      <c r="L586" s="2">
        <v>5</v>
      </c>
      <c r="M586" s="2">
        <v>3</v>
      </c>
      <c r="N586" s="2" t="s">
        <v>8</v>
      </c>
      <c r="O586" s="2">
        <v>4</v>
      </c>
      <c r="P586" s="2">
        <f ca="1">ROUND((IF(I586="",TODAY(),I586)-H586)/365,1)</f>
        <v>8.5</v>
      </c>
      <c r="Q586" s="2" t="str">
        <f t="shared" si="9"/>
        <v>Low</v>
      </c>
    </row>
    <row r="587" spans="1:17" x14ac:dyDescent="0.35">
      <c r="A587" s="2" t="s">
        <v>1740</v>
      </c>
      <c r="B587" s="2" t="s">
        <v>1440</v>
      </c>
      <c r="C587" s="2" t="s">
        <v>5</v>
      </c>
      <c r="D587" s="2" t="s">
        <v>207</v>
      </c>
      <c r="E587" s="2" t="s">
        <v>46</v>
      </c>
      <c r="F587" s="2">
        <v>39</v>
      </c>
      <c r="G587" s="2" t="s">
        <v>78</v>
      </c>
      <c r="H587" s="3" t="s">
        <v>358</v>
      </c>
      <c r="I587" s="2"/>
      <c r="J587" s="2" t="s">
        <v>8</v>
      </c>
      <c r="K587" s="2">
        <v>118804</v>
      </c>
      <c r="L587" s="2">
        <v>3</v>
      </c>
      <c r="M587" s="2">
        <v>2</v>
      </c>
      <c r="N587" s="2" t="s">
        <v>8</v>
      </c>
      <c r="O587" s="2">
        <v>31</v>
      </c>
      <c r="P587" s="2">
        <f ca="1">ROUND((IF(I587="",TODAY(),I587)-H587)/365,1)</f>
        <v>1.7</v>
      </c>
      <c r="Q587" s="2" t="str">
        <f t="shared" si="9"/>
        <v>Medium</v>
      </c>
    </row>
    <row r="588" spans="1:17" x14ac:dyDescent="0.35">
      <c r="A588" s="2" t="s">
        <v>1741</v>
      </c>
      <c r="B588" s="2" t="s">
        <v>82</v>
      </c>
      <c r="C588" s="2" t="s">
        <v>5</v>
      </c>
      <c r="D588" s="2" t="s">
        <v>102</v>
      </c>
      <c r="E588" s="2" t="s">
        <v>31</v>
      </c>
      <c r="F588" s="2">
        <v>38</v>
      </c>
      <c r="G588" s="2" t="s">
        <v>32</v>
      </c>
      <c r="H588" s="3" t="s">
        <v>1742</v>
      </c>
      <c r="I588" s="2"/>
      <c r="J588" s="2" t="s">
        <v>8</v>
      </c>
      <c r="K588" s="2">
        <v>138633</v>
      </c>
      <c r="L588" s="2">
        <v>1</v>
      </c>
      <c r="M588" s="2">
        <v>3</v>
      </c>
      <c r="N588" s="2" t="s">
        <v>8</v>
      </c>
      <c r="O588" s="2">
        <v>35</v>
      </c>
      <c r="P588" s="2">
        <f ca="1">ROUND((IF(I588="",TODAY(),I588)-H588)/365,1)</f>
        <v>5.4</v>
      </c>
      <c r="Q588" s="2" t="str">
        <f t="shared" si="9"/>
        <v>Low</v>
      </c>
    </row>
    <row r="589" spans="1:17" x14ac:dyDescent="0.35">
      <c r="A589" s="2" t="s">
        <v>1743</v>
      </c>
      <c r="B589" s="2" t="s">
        <v>1744</v>
      </c>
      <c r="C589" s="2" t="s">
        <v>10</v>
      </c>
      <c r="D589" s="2" t="s">
        <v>111</v>
      </c>
      <c r="E589" s="2" t="s">
        <v>46</v>
      </c>
      <c r="F589" s="2">
        <v>27</v>
      </c>
      <c r="G589" s="2" t="s">
        <v>78</v>
      </c>
      <c r="H589" s="3" t="s">
        <v>1745</v>
      </c>
      <c r="I589" s="2"/>
      <c r="J589" s="2" t="s">
        <v>8</v>
      </c>
      <c r="K589" s="2">
        <v>145047</v>
      </c>
      <c r="L589" s="2">
        <v>2</v>
      </c>
      <c r="M589" s="2">
        <v>3</v>
      </c>
      <c r="N589" s="2" t="s">
        <v>8</v>
      </c>
      <c r="O589" s="2">
        <v>11</v>
      </c>
      <c r="P589" s="2">
        <f ca="1">ROUND((IF(I589="",TODAY(),I589)-H589)/365,1)</f>
        <v>2.4</v>
      </c>
      <c r="Q589" s="2" t="str">
        <f t="shared" si="9"/>
        <v>Low</v>
      </c>
    </row>
    <row r="590" spans="1:17" x14ac:dyDescent="0.35">
      <c r="A590" s="2" t="s">
        <v>1746</v>
      </c>
      <c r="B590" s="2" t="s">
        <v>1244</v>
      </c>
      <c r="C590" s="2" t="s">
        <v>12</v>
      </c>
      <c r="D590" s="2" t="s">
        <v>133</v>
      </c>
      <c r="E590" s="2" t="s">
        <v>31</v>
      </c>
      <c r="F590" s="2">
        <v>53</v>
      </c>
      <c r="G590" s="2" t="s">
        <v>32</v>
      </c>
      <c r="H590" s="3" t="s">
        <v>1747</v>
      </c>
      <c r="I590" s="2"/>
      <c r="J590" s="2" t="s">
        <v>8</v>
      </c>
      <c r="K590" s="2">
        <v>133055</v>
      </c>
      <c r="L590" s="2">
        <v>4</v>
      </c>
      <c r="M590" s="2">
        <v>3</v>
      </c>
      <c r="N590" s="2" t="s">
        <v>8</v>
      </c>
      <c r="O590" s="2">
        <v>7</v>
      </c>
      <c r="P590" s="2">
        <f ca="1">ROUND((IF(I590="",TODAY(),I590)-H590)/365,1)</f>
        <v>6.3</v>
      </c>
      <c r="Q590" s="2" t="str">
        <f t="shared" si="9"/>
        <v>Low</v>
      </c>
    </row>
    <row r="591" spans="1:17" x14ac:dyDescent="0.35">
      <c r="A591" s="2" t="s">
        <v>1748</v>
      </c>
      <c r="B591" s="2" t="s">
        <v>713</v>
      </c>
      <c r="C591" s="2" t="s">
        <v>11</v>
      </c>
      <c r="D591" s="2" t="s">
        <v>45</v>
      </c>
      <c r="E591" s="2" t="s">
        <v>46</v>
      </c>
      <c r="F591" s="2">
        <v>57</v>
      </c>
      <c r="G591" s="2" t="s">
        <v>32</v>
      </c>
      <c r="H591" s="3" t="s">
        <v>1749</v>
      </c>
      <c r="I591" s="2"/>
      <c r="J591" s="2" t="s">
        <v>8</v>
      </c>
      <c r="K591" s="2">
        <v>109094</v>
      </c>
      <c r="L591" s="2">
        <v>1</v>
      </c>
      <c r="M591" s="2">
        <v>1</v>
      </c>
      <c r="N591" s="2" t="s">
        <v>6</v>
      </c>
      <c r="O591" s="2">
        <v>42</v>
      </c>
      <c r="P591" s="2">
        <f ca="1">ROUND((IF(I591="",TODAY(),I591)-H591)/365,1)</f>
        <v>3.3</v>
      </c>
      <c r="Q591" s="2" t="str">
        <f t="shared" si="9"/>
        <v>High</v>
      </c>
    </row>
    <row r="592" spans="1:17" x14ac:dyDescent="0.35">
      <c r="A592" s="2" t="s">
        <v>1750</v>
      </c>
      <c r="B592" s="2" t="s">
        <v>1751</v>
      </c>
      <c r="C592" s="2" t="s">
        <v>12</v>
      </c>
      <c r="D592" s="2" t="s">
        <v>30</v>
      </c>
      <c r="E592" s="2" t="s">
        <v>31</v>
      </c>
      <c r="F592" s="2">
        <v>41</v>
      </c>
      <c r="G592" s="2" t="s">
        <v>56</v>
      </c>
      <c r="H592" s="3" t="s">
        <v>1731</v>
      </c>
      <c r="I592" s="2"/>
      <c r="J592" s="2" t="s">
        <v>8</v>
      </c>
      <c r="K592" s="2">
        <v>92681</v>
      </c>
      <c r="L592" s="2">
        <v>2</v>
      </c>
      <c r="M592" s="2">
        <v>1</v>
      </c>
      <c r="N592" s="2" t="s">
        <v>8</v>
      </c>
      <c r="O592" s="2">
        <v>16</v>
      </c>
      <c r="P592" s="2">
        <f ca="1">ROUND((IF(I592="",TODAY(),I592)-H592)/365,1)</f>
        <v>8.1</v>
      </c>
      <c r="Q592" s="2" t="str">
        <f t="shared" si="9"/>
        <v>Medium</v>
      </c>
    </row>
    <row r="593" spans="1:17" x14ac:dyDescent="0.35">
      <c r="A593" s="2" t="s">
        <v>1752</v>
      </c>
      <c r="B593" s="2" t="s">
        <v>850</v>
      </c>
      <c r="C593" s="2" t="s">
        <v>12</v>
      </c>
      <c r="D593" s="2" t="s">
        <v>30</v>
      </c>
      <c r="E593" s="2" t="s">
        <v>46</v>
      </c>
      <c r="F593" s="2">
        <v>52</v>
      </c>
      <c r="G593" s="2" t="s">
        <v>78</v>
      </c>
      <c r="H593" s="3" t="s">
        <v>1288</v>
      </c>
      <c r="I593" s="2"/>
      <c r="J593" s="2" t="s">
        <v>8</v>
      </c>
      <c r="K593" s="2">
        <v>102728</v>
      </c>
      <c r="L593" s="2">
        <v>2</v>
      </c>
      <c r="M593" s="2">
        <v>3</v>
      </c>
      <c r="N593" s="2" t="s">
        <v>8</v>
      </c>
      <c r="O593" s="2">
        <v>44</v>
      </c>
      <c r="P593" s="2">
        <f ca="1">ROUND((IF(I593="",TODAY(),I593)-H593)/365,1)</f>
        <v>1.8</v>
      </c>
      <c r="Q593" s="2" t="str">
        <f t="shared" si="9"/>
        <v>Low</v>
      </c>
    </row>
    <row r="594" spans="1:17" x14ac:dyDescent="0.35">
      <c r="A594" s="2" t="s">
        <v>1753</v>
      </c>
      <c r="B594" s="2" t="s">
        <v>952</v>
      </c>
      <c r="C594" s="2" t="s">
        <v>7</v>
      </c>
      <c r="D594" s="2" t="s">
        <v>155</v>
      </c>
      <c r="E594" s="2" t="s">
        <v>46</v>
      </c>
      <c r="F594" s="2">
        <v>47</v>
      </c>
      <c r="G594" s="2" t="s">
        <v>32</v>
      </c>
      <c r="H594" s="3" t="s">
        <v>1754</v>
      </c>
      <c r="I594" s="2"/>
      <c r="J594" s="2" t="s">
        <v>8</v>
      </c>
      <c r="K594" s="2">
        <v>149270</v>
      </c>
      <c r="L594" s="2">
        <v>2</v>
      </c>
      <c r="M594" s="2">
        <v>5</v>
      </c>
      <c r="N594" s="2" t="s">
        <v>8</v>
      </c>
      <c r="O594" s="2">
        <v>2</v>
      </c>
      <c r="P594" s="2">
        <f ca="1">ROUND((IF(I594="",TODAY(),I594)-H594)/365,1)</f>
        <v>1.8</v>
      </c>
      <c r="Q594" s="2" t="str">
        <f t="shared" si="9"/>
        <v>Low</v>
      </c>
    </row>
    <row r="595" spans="1:17" x14ac:dyDescent="0.35">
      <c r="A595" s="2" t="s">
        <v>1755</v>
      </c>
      <c r="B595" s="2" t="s">
        <v>106</v>
      </c>
      <c r="C595" s="2" t="s">
        <v>12</v>
      </c>
      <c r="D595" s="2" t="s">
        <v>55</v>
      </c>
      <c r="E595" s="2" t="s">
        <v>31</v>
      </c>
      <c r="F595" s="2">
        <v>34</v>
      </c>
      <c r="G595" s="2" t="s">
        <v>78</v>
      </c>
      <c r="H595" s="3" t="s">
        <v>1756</v>
      </c>
      <c r="I595" s="2"/>
      <c r="J595" s="2" t="s">
        <v>8</v>
      </c>
      <c r="K595" s="2">
        <v>106003</v>
      </c>
      <c r="L595" s="2">
        <v>1</v>
      </c>
      <c r="M595" s="2">
        <v>2</v>
      </c>
      <c r="N595" s="2" t="s">
        <v>8</v>
      </c>
      <c r="O595" s="2">
        <v>26</v>
      </c>
      <c r="P595" s="2">
        <f ca="1">ROUND((IF(I595="",TODAY(),I595)-H595)/365,1)</f>
        <v>8.6999999999999993</v>
      </c>
      <c r="Q595" s="2" t="str">
        <f t="shared" si="9"/>
        <v>Medium</v>
      </c>
    </row>
    <row r="596" spans="1:17" x14ac:dyDescent="0.35">
      <c r="A596" s="2" t="s">
        <v>1757</v>
      </c>
      <c r="B596" s="2" t="s">
        <v>1758</v>
      </c>
      <c r="C596" s="2" t="s">
        <v>7</v>
      </c>
      <c r="D596" s="2" t="s">
        <v>155</v>
      </c>
      <c r="E596" s="2" t="s">
        <v>46</v>
      </c>
      <c r="F596" s="2">
        <v>29</v>
      </c>
      <c r="G596" s="2" t="s">
        <v>32</v>
      </c>
      <c r="H596" s="3" t="s">
        <v>1759</v>
      </c>
      <c r="I596" s="2"/>
      <c r="J596" s="2" t="s">
        <v>8</v>
      </c>
      <c r="K596" s="2">
        <v>89769</v>
      </c>
      <c r="L596" s="2">
        <v>4</v>
      </c>
      <c r="M596" s="2">
        <v>4</v>
      </c>
      <c r="N596" s="2" t="s">
        <v>8</v>
      </c>
      <c r="O596" s="2">
        <v>44</v>
      </c>
      <c r="P596" s="2">
        <f ca="1">ROUND((IF(I596="",TODAY(),I596)-H596)/365,1)</f>
        <v>11.5</v>
      </c>
      <c r="Q596" s="2" t="str">
        <f t="shared" si="9"/>
        <v>Low</v>
      </c>
    </row>
    <row r="597" spans="1:17" x14ac:dyDescent="0.35">
      <c r="A597" s="2" t="s">
        <v>1760</v>
      </c>
      <c r="B597" s="2" t="s">
        <v>1761</v>
      </c>
      <c r="C597" s="2" t="s">
        <v>7</v>
      </c>
      <c r="D597" s="2" t="s">
        <v>155</v>
      </c>
      <c r="E597" s="2" t="s">
        <v>46</v>
      </c>
      <c r="F597" s="2">
        <v>46</v>
      </c>
      <c r="G597" s="2" t="s">
        <v>78</v>
      </c>
      <c r="H597" s="3" t="s">
        <v>1762</v>
      </c>
      <c r="I597" s="2"/>
      <c r="J597" s="2" t="s">
        <v>8</v>
      </c>
      <c r="K597" s="2">
        <v>133014</v>
      </c>
      <c r="L597" s="2">
        <v>5</v>
      </c>
      <c r="M597" s="2">
        <v>2</v>
      </c>
      <c r="N597" s="2" t="s">
        <v>8</v>
      </c>
      <c r="O597" s="2">
        <v>14</v>
      </c>
      <c r="P597" s="2">
        <f ca="1">ROUND((IF(I597="",TODAY(),I597)-H597)/365,1)</f>
        <v>10.199999999999999</v>
      </c>
      <c r="Q597" s="2" t="str">
        <f t="shared" si="9"/>
        <v>Medium</v>
      </c>
    </row>
    <row r="598" spans="1:17" x14ac:dyDescent="0.35">
      <c r="A598" s="2" t="s">
        <v>1763</v>
      </c>
      <c r="B598" s="2" t="s">
        <v>1764</v>
      </c>
      <c r="C598" s="2" t="s">
        <v>7</v>
      </c>
      <c r="D598" s="2" t="s">
        <v>125</v>
      </c>
      <c r="E598" s="2" t="s">
        <v>31</v>
      </c>
      <c r="F598" s="2">
        <v>23</v>
      </c>
      <c r="G598" s="2" t="s">
        <v>32</v>
      </c>
      <c r="H598" s="3" t="s">
        <v>1765</v>
      </c>
      <c r="I598" s="2"/>
      <c r="J598" s="2" t="s">
        <v>8</v>
      </c>
      <c r="K598" s="2">
        <v>143925</v>
      </c>
      <c r="L598" s="2">
        <v>5</v>
      </c>
      <c r="M598" s="2">
        <v>2</v>
      </c>
      <c r="N598" s="2" t="s">
        <v>8</v>
      </c>
      <c r="O598" s="2">
        <v>29</v>
      </c>
      <c r="P598" s="2">
        <f ca="1">ROUND((IF(I598="",TODAY(),I598)-H598)/365,1)</f>
        <v>8.4</v>
      </c>
      <c r="Q598" s="2" t="str">
        <f t="shared" si="9"/>
        <v>Medium</v>
      </c>
    </row>
    <row r="599" spans="1:17" x14ac:dyDescent="0.35">
      <c r="A599" s="2" t="s">
        <v>1766</v>
      </c>
      <c r="B599" s="2" t="s">
        <v>1767</v>
      </c>
      <c r="C599" s="2" t="s">
        <v>12</v>
      </c>
      <c r="D599" s="2" t="s">
        <v>55</v>
      </c>
      <c r="E599" s="2" t="s">
        <v>46</v>
      </c>
      <c r="F599" s="2">
        <v>52</v>
      </c>
      <c r="G599" s="2" t="s">
        <v>78</v>
      </c>
      <c r="H599" s="3" t="s">
        <v>1768</v>
      </c>
      <c r="I599" s="2"/>
      <c r="J599" s="2" t="s">
        <v>8</v>
      </c>
      <c r="K599" s="2">
        <v>117858</v>
      </c>
      <c r="L599" s="2">
        <v>2</v>
      </c>
      <c r="M599" s="2">
        <v>4</v>
      </c>
      <c r="N599" s="2" t="s">
        <v>8</v>
      </c>
      <c r="O599" s="2">
        <v>25</v>
      </c>
      <c r="P599" s="2">
        <f ca="1">ROUND((IF(I599="",TODAY(),I599)-H599)/365,1)</f>
        <v>10.1</v>
      </c>
      <c r="Q599" s="2" t="str">
        <f t="shared" si="9"/>
        <v>Low</v>
      </c>
    </row>
    <row r="600" spans="1:17" x14ac:dyDescent="0.35">
      <c r="A600" s="2" t="s">
        <v>1769</v>
      </c>
      <c r="B600" s="2" t="s">
        <v>1062</v>
      </c>
      <c r="C600" s="2" t="s">
        <v>9</v>
      </c>
      <c r="D600" s="2" t="s">
        <v>51</v>
      </c>
      <c r="E600" s="2" t="s">
        <v>31</v>
      </c>
      <c r="F600" s="2">
        <v>25</v>
      </c>
      <c r="G600" s="2" t="s">
        <v>56</v>
      </c>
      <c r="H600" s="3" t="s">
        <v>1770</v>
      </c>
      <c r="I600" s="2"/>
      <c r="J600" s="2" t="s">
        <v>8</v>
      </c>
      <c r="K600" s="2">
        <v>148118</v>
      </c>
      <c r="L600" s="2">
        <v>3</v>
      </c>
      <c r="M600" s="2">
        <v>4</v>
      </c>
      <c r="N600" s="2" t="s">
        <v>8</v>
      </c>
      <c r="O600" s="2">
        <v>39</v>
      </c>
      <c r="P600" s="2">
        <f ca="1">ROUND((IF(I600="",TODAY(),I600)-H600)/365,1)</f>
        <v>7.9</v>
      </c>
      <c r="Q600" s="2" t="str">
        <f t="shared" si="9"/>
        <v>Low</v>
      </c>
    </row>
    <row r="601" spans="1:17" x14ac:dyDescent="0.35">
      <c r="A601" s="2" t="s">
        <v>1771</v>
      </c>
      <c r="B601" s="2" t="s">
        <v>1772</v>
      </c>
      <c r="C601" s="2" t="s">
        <v>11</v>
      </c>
      <c r="D601" s="2" t="s">
        <v>98</v>
      </c>
      <c r="E601" s="2" t="s">
        <v>31</v>
      </c>
      <c r="F601" s="2">
        <v>54</v>
      </c>
      <c r="G601" s="2" t="s">
        <v>56</v>
      </c>
      <c r="H601" s="3" t="s">
        <v>1773</v>
      </c>
      <c r="I601" s="3" t="s">
        <v>1774</v>
      </c>
      <c r="J601" s="2" t="s">
        <v>6</v>
      </c>
      <c r="K601" s="2">
        <v>141945</v>
      </c>
      <c r="L601" s="2">
        <v>3</v>
      </c>
      <c r="M601" s="2">
        <v>4</v>
      </c>
      <c r="N601" s="2" t="s">
        <v>8</v>
      </c>
      <c r="O601" s="2">
        <v>9</v>
      </c>
      <c r="P601" s="2">
        <f ca="1">ROUND((IF(I601="",TODAY(),I601)-H601)/365,1)</f>
        <v>1.2</v>
      </c>
      <c r="Q601" s="2" t="str">
        <f t="shared" si="9"/>
        <v>N/A</v>
      </c>
    </row>
    <row r="602" spans="1:17" x14ac:dyDescent="0.35">
      <c r="A602" s="2" t="s">
        <v>1775</v>
      </c>
      <c r="B602" s="2" t="s">
        <v>850</v>
      </c>
      <c r="C602" s="2" t="s">
        <v>9</v>
      </c>
      <c r="D602" s="2" t="s">
        <v>51</v>
      </c>
      <c r="E602" s="2" t="s">
        <v>46</v>
      </c>
      <c r="F602" s="2">
        <v>30</v>
      </c>
      <c r="G602" s="2" t="s">
        <v>32</v>
      </c>
      <c r="H602" s="3" t="s">
        <v>1776</v>
      </c>
      <c r="I602" s="2"/>
      <c r="J602" s="2" t="s">
        <v>8</v>
      </c>
      <c r="K602" s="2">
        <v>59131</v>
      </c>
      <c r="L602" s="2">
        <v>4</v>
      </c>
      <c r="M602" s="2">
        <v>5</v>
      </c>
      <c r="N602" s="2" t="s">
        <v>6</v>
      </c>
      <c r="O602" s="2">
        <v>10</v>
      </c>
      <c r="P602" s="2">
        <f ca="1">ROUND((IF(I602="",TODAY(),I602)-H602)/365,1)</f>
        <v>10.6</v>
      </c>
      <c r="Q602" s="2" t="str">
        <f t="shared" si="9"/>
        <v>Medium</v>
      </c>
    </row>
    <row r="603" spans="1:17" x14ac:dyDescent="0.35">
      <c r="A603" s="2" t="s">
        <v>1777</v>
      </c>
      <c r="B603" s="2" t="s">
        <v>1698</v>
      </c>
      <c r="C603" s="2" t="s">
        <v>7</v>
      </c>
      <c r="D603" s="2" t="s">
        <v>125</v>
      </c>
      <c r="E603" s="2" t="s">
        <v>46</v>
      </c>
      <c r="F603" s="2">
        <v>40</v>
      </c>
      <c r="G603" s="2" t="s">
        <v>78</v>
      </c>
      <c r="H603" s="3" t="s">
        <v>1778</v>
      </c>
      <c r="I603" s="2"/>
      <c r="J603" s="2" t="s">
        <v>8</v>
      </c>
      <c r="K603" s="2">
        <v>66026</v>
      </c>
      <c r="L603" s="2">
        <v>3</v>
      </c>
      <c r="M603" s="2">
        <v>5</v>
      </c>
      <c r="N603" s="2" t="s">
        <v>8</v>
      </c>
      <c r="O603" s="2">
        <v>34</v>
      </c>
      <c r="P603" s="2">
        <f ca="1">ROUND((IF(I603="",TODAY(),I603)-H603)/365,1)</f>
        <v>1.5</v>
      </c>
      <c r="Q603" s="2" t="str">
        <f t="shared" si="9"/>
        <v>Low</v>
      </c>
    </row>
    <row r="604" spans="1:17" x14ac:dyDescent="0.35">
      <c r="A604" s="2" t="s">
        <v>1779</v>
      </c>
      <c r="B604" s="2" t="s">
        <v>1029</v>
      </c>
      <c r="C604" s="2" t="s">
        <v>9</v>
      </c>
      <c r="D604" s="2" t="s">
        <v>77</v>
      </c>
      <c r="E604" s="2" t="s">
        <v>46</v>
      </c>
      <c r="F604" s="2">
        <v>50</v>
      </c>
      <c r="G604" s="2" t="s">
        <v>78</v>
      </c>
      <c r="H604" s="3" t="s">
        <v>1462</v>
      </c>
      <c r="I604" s="3" t="s">
        <v>1073</v>
      </c>
      <c r="J604" s="2" t="s">
        <v>6</v>
      </c>
      <c r="K604" s="2">
        <v>29700</v>
      </c>
      <c r="L604" s="2">
        <v>2</v>
      </c>
      <c r="M604" s="2">
        <v>1</v>
      </c>
      <c r="N604" s="2" t="s">
        <v>6</v>
      </c>
      <c r="O604" s="2">
        <v>12</v>
      </c>
      <c r="P604" s="2">
        <f ca="1">ROUND((IF(I604="",TODAY(),I604)-H604)/365,1)</f>
        <v>8.1</v>
      </c>
      <c r="Q604" s="2" t="str">
        <f t="shared" si="9"/>
        <v>N/A</v>
      </c>
    </row>
    <row r="605" spans="1:17" x14ac:dyDescent="0.35">
      <c r="A605" s="2" t="s">
        <v>1780</v>
      </c>
      <c r="B605" s="2" t="s">
        <v>1781</v>
      </c>
      <c r="C605" s="2" t="s">
        <v>10</v>
      </c>
      <c r="D605" s="2" t="s">
        <v>258</v>
      </c>
      <c r="E605" s="2" t="s">
        <v>31</v>
      </c>
      <c r="F605" s="2">
        <v>50</v>
      </c>
      <c r="G605" s="2" t="s">
        <v>32</v>
      </c>
      <c r="H605" s="3" t="s">
        <v>1782</v>
      </c>
      <c r="I605" s="2"/>
      <c r="J605" s="2" t="s">
        <v>8</v>
      </c>
      <c r="K605" s="2">
        <v>89616</v>
      </c>
      <c r="L605" s="2">
        <v>4</v>
      </c>
      <c r="M605" s="2">
        <v>5</v>
      </c>
      <c r="N605" s="2" t="s">
        <v>8</v>
      </c>
      <c r="O605" s="2">
        <v>30</v>
      </c>
      <c r="P605" s="2">
        <f ca="1">ROUND((IF(I605="",TODAY(),I605)-H605)/365,1)</f>
        <v>7.6</v>
      </c>
      <c r="Q605" s="2" t="str">
        <f t="shared" si="9"/>
        <v>Low</v>
      </c>
    </row>
    <row r="606" spans="1:17" x14ac:dyDescent="0.35">
      <c r="A606" s="2" t="s">
        <v>1783</v>
      </c>
      <c r="B606" s="2" t="s">
        <v>1784</v>
      </c>
      <c r="C606" s="2" t="s">
        <v>7</v>
      </c>
      <c r="D606" s="2" t="s">
        <v>155</v>
      </c>
      <c r="E606" s="2" t="s">
        <v>46</v>
      </c>
      <c r="F606" s="2">
        <v>40</v>
      </c>
      <c r="G606" s="2" t="s">
        <v>56</v>
      </c>
      <c r="H606" s="3" t="s">
        <v>1785</v>
      </c>
      <c r="I606" s="2"/>
      <c r="J606" s="2" t="s">
        <v>8</v>
      </c>
      <c r="K606" s="2">
        <v>141771</v>
      </c>
      <c r="L606" s="2">
        <v>3</v>
      </c>
      <c r="M606" s="2">
        <v>5</v>
      </c>
      <c r="N606" s="2" t="s">
        <v>8</v>
      </c>
      <c r="O606" s="2">
        <v>37</v>
      </c>
      <c r="P606" s="2">
        <f ca="1">ROUND((IF(I606="",TODAY(),I606)-H606)/365,1)</f>
        <v>9.6</v>
      </c>
      <c r="Q606" s="2" t="str">
        <f t="shared" si="9"/>
        <v>Low</v>
      </c>
    </row>
    <row r="607" spans="1:17" x14ac:dyDescent="0.35">
      <c r="A607" s="2" t="s">
        <v>1786</v>
      </c>
      <c r="B607" s="2" t="s">
        <v>1787</v>
      </c>
      <c r="C607" s="2" t="s">
        <v>11</v>
      </c>
      <c r="D607" s="2" t="s">
        <v>45</v>
      </c>
      <c r="E607" s="2" t="s">
        <v>31</v>
      </c>
      <c r="F607" s="2">
        <v>37</v>
      </c>
      <c r="G607" s="2" t="s">
        <v>56</v>
      </c>
      <c r="H607" s="3" t="s">
        <v>1788</v>
      </c>
      <c r="I607" s="2"/>
      <c r="J607" s="2" t="s">
        <v>8</v>
      </c>
      <c r="K607" s="2">
        <v>62261</v>
      </c>
      <c r="L607" s="2">
        <v>3</v>
      </c>
      <c r="M607" s="2">
        <v>1</v>
      </c>
      <c r="N607" s="2" t="s">
        <v>8</v>
      </c>
      <c r="O607" s="2">
        <v>2</v>
      </c>
      <c r="P607" s="2">
        <f ca="1">ROUND((IF(I607="",TODAY(),I607)-H607)/365,1)</f>
        <v>3</v>
      </c>
      <c r="Q607" s="2" t="str">
        <f t="shared" si="9"/>
        <v>Medium</v>
      </c>
    </row>
    <row r="608" spans="1:17" x14ac:dyDescent="0.35">
      <c r="A608" s="2" t="s">
        <v>1789</v>
      </c>
      <c r="B608" s="2" t="s">
        <v>684</v>
      </c>
      <c r="C608" s="2" t="s">
        <v>5</v>
      </c>
      <c r="D608" s="2" t="s">
        <v>207</v>
      </c>
      <c r="E608" s="2" t="s">
        <v>46</v>
      </c>
      <c r="F608" s="2">
        <v>42</v>
      </c>
      <c r="G608" s="2" t="s">
        <v>78</v>
      </c>
      <c r="H608" s="3" t="s">
        <v>1790</v>
      </c>
      <c r="I608" s="2"/>
      <c r="J608" s="2" t="s">
        <v>8</v>
      </c>
      <c r="K608" s="2">
        <v>107359</v>
      </c>
      <c r="L608" s="2">
        <v>4</v>
      </c>
      <c r="M608" s="2">
        <v>4</v>
      </c>
      <c r="N608" s="2" t="s">
        <v>6</v>
      </c>
      <c r="O608" s="2">
        <v>30</v>
      </c>
      <c r="P608" s="2">
        <f ca="1">ROUND((IF(I608="",TODAY(),I608)-H608)/365,1)</f>
        <v>9.9</v>
      </c>
      <c r="Q608" s="2" t="str">
        <f t="shared" si="9"/>
        <v>Medium</v>
      </c>
    </row>
    <row r="609" spans="1:17" x14ac:dyDescent="0.35">
      <c r="A609" s="2" t="s">
        <v>1791</v>
      </c>
      <c r="B609" s="2" t="s">
        <v>1792</v>
      </c>
      <c r="C609" s="2" t="s">
        <v>5</v>
      </c>
      <c r="D609" s="2" t="s">
        <v>207</v>
      </c>
      <c r="E609" s="2" t="s">
        <v>31</v>
      </c>
      <c r="F609" s="2">
        <v>42</v>
      </c>
      <c r="G609" s="2" t="s">
        <v>32</v>
      </c>
      <c r="H609" s="3" t="s">
        <v>1793</v>
      </c>
      <c r="I609" s="2"/>
      <c r="J609" s="2" t="s">
        <v>8</v>
      </c>
      <c r="K609" s="2">
        <v>138151</v>
      </c>
      <c r="L609" s="2">
        <v>2</v>
      </c>
      <c r="M609" s="2">
        <v>5</v>
      </c>
      <c r="N609" s="2" t="s">
        <v>8</v>
      </c>
      <c r="O609" s="2">
        <v>14</v>
      </c>
      <c r="P609" s="2">
        <f ca="1">ROUND((IF(I609="",TODAY(),I609)-H609)/365,1)</f>
        <v>3.4</v>
      </c>
      <c r="Q609" s="2" t="str">
        <f t="shared" si="9"/>
        <v>Low</v>
      </c>
    </row>
    <row r="610" spans="1:17" x14ac:dyDescent="0.35">
      <c r="A610" s="2" t="s">
        <v>1794</v>
      </c>
      <c r="B610" s="2" t="s">
        <v>1795</v>
      </c>
      <c r="C610" s="2" t="s">
        <v>9</v>
      </c>
      <c r="D610" s="2" t="s">
        <v>41</v>
      </c>
      <c r="E610" s="2" t="s">
        <v>31</v>
      </c>
      <c r="F610" s="2">
        <v>46</v>
      </c>
      <c r="G610" s="2" t="s">
        <v>32</v>
      </c>
      <c r="H610" s="3" t="s">
        <v>42</v>
      </c>
      <c r="I610" s="2"/>
      <c r="J610" s="2" t="s">
        <v>8</v>
      </c>
      <c r="K610" s="2">
        <v>36690</v>
      </c>
      <c r="L610" s="2">
        <v>2</v>
      </c>
      <c r="M610" s="2">
        <v>2</v>
      </c>
      <c r="N610" s="2" t="s">
        <v>8</v>
      </c>
      <c r="O610" s="2">
        <v>26</v>
      </c>
      <c r="P610" s="2">
        <f ca="1">ROUND((IF(I610="",TODAY(),I610)-H610)/365,1)</f>
        <v>10.6</v>
      </c>
      <c r="Q610" s="2" t="str">
        <f t="shared" si="9"/>
        <v>Medium</v>
      </c>
    </row>
    <row r="611" spans="1:17" x14ac:dyDescent="0.35">
      <c r="A611" s="2" t="s">
        <v>1796</v>
      </c>
      <c r="B611" s="2" t="s">
        <v>662</v>
      </c>
      <c r="C611" s="2" t="s">
        <v>7</v>
      </c>
      <c r="D611" s="2" t="s">
        <v>125</v>
      </c>
      <c r="E611" s="2" t="s">
        <v>46</v>
      </c>
      <c r="F611" s="2">
        <v>29</v>
      </c>
      <c r="G611" s="2" t="s">
        <v>32</v>
      </c>
      <c r="H611" s="3" t="s">
        <v>1797</v>
      </c>
      <c r="I611" s="2"/>
      <c r="J611" s="2" t="s">
        <v>8</v>
      </c>
      <c r="K611" s="2">
        <v>104103</v>
      </c>
      <c r="L611" s="2">
        <v>3</v>
      </c>
      <c r="M611" s="2">
        <v>4</v>
      </c>
      <c r="N611" s="2" t="s">
        <v>8</v>
      </c>
      <c r="O611" s="2">
        <v>44</v>
      </c>
      <c r="P611" s="2">
        <f ca="1">ROUND((IF(I611="",TODAY(),I611)-H611)/365,1)</f>
        <v>8.3000000000000007</v>
      </c>
      <c r="Q611" s="2" t="str">
        <f t="shared" si="9"/>
        <v>Low</v>
      </c>
    </row>
    <row r="612" spans="1:17" x14ac:dyDescent="0.35">
      <c r="A612" s="2" t="s">
        <v>1798</v>
      </c>
      <c r="B612" s="2" t="s">
        <v>1034</v>
      </c>
      <c r="C612" s="2" t="s">
        <v>5</v>
      </c>
      <c r="D612" s="2" t="s">
        <v>207</v>
      </c>
      <c r="E612" s="2" t="s">
        <v>31</v>
      </c>
      <c r="F612" s="2">
        <v>46</v>
      </c>
      <c r="G612" s="2" t="s">
        <v>78</v>
      </c>
      <c r="H612" s="3" t="s">
        <v>1799</v>
      </c>
      <c r="I612" s="2"/>
      <c r="J612" s="2" t="s">
        <v>8</v>
      </c>
      <c r="K612" s="2">
        <v>124154</v>
      </c>
      <c r="L612" s="2">
        <v>4</v>
      </c>
      <c r="M612" s="2">
        <v>5</v>
      </c>
      <c r="N612" s="2" t="s">
        <v>6</v>
      </c>
      <c r="O612" s="2">
        <v>6</v>
      </c>
      <c r="P612" s="2">
        <f ca="1">ROUND((IF(I612="",TODAY(),I612)-H612)/365,1)</f>
        <v>6.3</v>
      </c>
      <c r="Q612" s="2" t="str">
        <f t="shared" si="9"/>
        <v>Medium</v>
      </c>
    </row>
    <row r="613" spans="1:17" x14ac:dyDescent="0.35">
      <c r="A613" s="2" t="s">
        <v>1800</v>
      </c>
      <c r="B613" s="2" t="s">
        <v>1801</v>
      </c>
      <c r="C613" s="2" t="s">
        <v>11</v>
      </c>
      <c r="D613" s="2" t="s">
        <v>45</v>
      </c>
      <c r="E613" s="2" t="s">
        <v>46</v>
      </c>
      <c r="F613" s="2">
        <v>24</v>
      </c>
      <c r="G613" s="2" t="s">
        <v>56</v>
      </c>
      <c r="H613" s="3" t="s">
        <v>957</v>
      </c>
      <c r="I613" s="3" t="s">
        <v>1802</v>
      </c>
      <c r="J613" s="2" t="s">
        <v>6</v>
      </c>
      <c r="K613" s="2">
        <v>114946</v>
      </c>
      <c r="L613" s="2">
        <v>2</v>
      </c>
      <c r="M613" s="2">
        <v>4</v>
      </c>
      <c r="N613" s="2" t="s">
        <v>6</v>
      </c>
      <c r="O613" s="2">
        <v>42</v>
      </c>
      <c r="P613" s="2">
        <f ca="1">ROUND((IF(I613="",TODAY(),I613)-H613)/365,1)</f>
        <v>5.7</v>
      </c>
      <c r="Q613" s="2" t="str">
        <f t="shared" si="9"/>
        <v>N/A</v>
      </c>
    </row>
    <row r="614" spans="1:17" x14ac:dyDescent="0.35">
      <c r="A614" s="2" t="s">
        <v>1803</v>
      </c>
      <c r="B614" s="2" t="s">
        <v>1804</v>
      </c>
      <c r="C614" s="2" t="s">
        <v>11</v>
      </c>
      <c r="D614" s="2" t="s">
        <v>98</v>
      </c>
      <c r="E614" s="2" t="s">
        <v>31</v>
      </c>
      <c r="F614" s="2">
        <v>49</v>
      </c>
      <c r="G614" s="2" t="s">
        <v>56</v>
      </c>
      <c r="H614" s="3" t="s">
        <v>1805</v>
      </c>
      <c r="I614" s="2"/>
      <c r="J614" s="2" t="s">
        <v>8</v>
      </c>
      <c r="K614" s="2">
        <v>41749</v>
      </c>
      <c r="L614" s="2">
        <v>3</v>
      </c>
      <c r="M614" s="2">
        <v>4</v>
      </c>
      <c r="N614" s="2" t="s">
        <v>8</v>
      </c>
      <c r="O614" s="2">
        <v>10</v>
      </c>
      <c r="P614" s="2">
        <f ca="1">ROUND((IF(I614="",TODAY(),I614)-H614)/365,1)</f>
        <v>10.7</v>
      </c>
      <c r="Q614" s="2" t="str">
        <f t="shared" si="9"/>
        <v>Low</v>
      </c>
    </row>
    <row r="615" spans="1:17" x14ac:dyDescent="0.35">
      <c r="A615" s="2" t="s">
        <v>1806</v>
      </c>
      <c r="B615" s="2" t="s">
        <v>1807</v>
      </c>
      <c r="C615" s="2" t="s">
        <v>7</v>
      </c>
      <c r="D615" s="2" t="s">
        <v>37</v>
      </c>
      <c r="E615" s="2" t="s">
        <v>46</v>
      </c>
      <c r="F615" s="2">
        <v>25</v>
      </c>
      <c r="G615" s="2" t="s">
        <v>78</v>
      </c>
      <c r="H615" s="3" t="s">
        <v>1808</v>
      </c>
      <c r="I615" s="3" t="s">
        <v>721</v>
      </c>
      <c r="J615" s="2" t="s">
        <v>6</v>
      </c>
      <c r="K615" s="2">
        <v>91932</v>
      </c>
      <c r="L615" s="2">
        <v>5</v>
      </c>
      <c r="M615" s="2">
        <v>1</v>
      </c>
      <c r="N615" s="2" t="s">
        <v>6</v>
      </c>
      <c r="O615" s="2">
        <v>7</v>
      </c>
      <c r="P615" s="2">
        <f ca="1">ROUND((IF(I615="",TODAY(),I615)-H615)/365,1)</f>
        <v>2.8</v>
      </c>
      <c r="Q615" s="2" t="str">
        <f t="shared" si="9"/>
        <v>N/A</v>
      </c>
    </row>
    <row r="616" spans="1:17" x14ac:dyDescent="0.35">
      <c r="A616" s="2" t="s">
        <v>1809</v>
      </c>
      <c r="B616" s="2" t="s">
        <v>678</v>
      </c>
      <c r="C616" s="2" t="s">
        <v>12</v>
      </c>
      <c r="D616" s="2" t="s">
        <v>55</v>
      </c>
      <c r="E616" s="2" t="s">
        <v>46</v>
      </c>
      <c r="F616" s="2">
        <v>27</v>
      </c>
      <c r="G616" s="2" t="s">
        <v>32</v>
      </c>
      <c r="H616" s="3" t="s">
        <v>1810</v>
      </c>
      <c r="I616" s="2"/>
      <c r="J616" s="2" t="s">
        <v>8</v>
      </c>
      <c r="K616" s="2">
        <v>128045</v>
      </c>
      <c r="L616" s="2">
        <v>4</v>
      </c>
      <c r="M616" s="2">
        <v>1</v>
      </c>
      <c r="N616" s="2" t="s">
        <v>8</v>
      </c>
      <c r="O616" s="2">
        <v>12</v>
      </c>
      <c r="P616" s="2">
        <f ca="1">ROUND((IF(I616="",TODAY(),I616)-H616)/365,1)</f>
        <v>3</v>
      </c>
      <c r="Q616" s="2" t="str">
        <f t="shared" si="9"/>
        <v>Medium</v>
      </c>
    </row>
    <row r="617" spans="1:17" x14ac:dyDescent="0.35">
      <c r="A617" s="2" t="s">
        <v>1811</v>
      </c>
      <c r="B617" s="2" t="s">
        <v>1812</v>
      </c>
      <c r="C617" s="2" t="s">
        <v>5</v>
      </c>
      <c r="D617" s="2" t="s">
        <v>94</v>
      </c>
      <c r="E617" s="2" t="s">
        <v>46</v>
      </c>
      <c r="F617" s="2">
        <v>51</v>
      </c>
      <c r="G617" s="2" t="s">
        <v>32</v>
      </c>
      <c r="H617" s="3" t="s">
        <v>1813</v>
      </c>
      <c r="I617" s="2"/>
      <c r="J617" s="2" t="s">
        <v>8</v>
      </c>
      <c r="K617" s="2">
        <v>145338</v>
      </c>
      <c r="L617" s="2">
        <v>3</v>
      </c>
      <c r="M617" s="2">
        <v>5</v>
      </c>
      <c r="N617" s="2" t="s">
        <v>8</v>
      </c>
      <c r="O617" s="2">
        <v>22</v>
      </c>
      <c r="P617" s="2">
        <f ca="1">ROUND((IF(I617="",TODAY(),I617)-H617)/365,1)</f>
        <v>3.1</v>
      </c>
      <c r="Q617" s="2" t="str">
        <f t="shared" si="9"/>
        <v>Low</v>
      </c>
    </row>
    <row r="618" spans="1:17" x14ac:dyDescent="0.35">
      <c r="A618" s="2" t="s">
        <v>1814</v>
      </c>
      <c r="B618" s="2" t="s">
        <v>564</v>
      </c>
      <c r="C618" s="2" t="s">
        <v>5</v>
      </c>
      <c r="D618" s="2" t="s">
        <v>102</v>
      </c>
      <c r="E618" s="2" t="s">
        <v>46</v>
      </c>
      <c r="F618" s="2">
        <v>56</v>
      </c>
      <c r="G618" s="2" t="s">
        <v>78</v>
      </c>
      <c r="H618" s="3" t="s">
        <v>1815</v>
      </c>
      <c r="I618" s="2"/>
      <c r="J618" s="2" t="s">
        <v>8</v>
      </c>
      <c r="K618" s="2">
        <v>110957</v>
      </c>
      <c r="L618" s="2">
        <v>1</v>
      </c>
      <c r="M618" s="2">
        <v>1</v>
      </c>
      <c r="N618" s="2" t="s">
        <v>6</v>
      </c>
      <c r="O618" s="2">
        <v>11</v>
      </c>
      <c r="P618" s="2">
        <f ca="1">ROUND((IF(I618="",TODAY(),I618)-H618)/365,1)</f>
        <v>11.4</v>
      </c>
      <c r="Q618" s="2" t="str">
        <f t="shared" si="9"/>
        <v>High</v>
      </c>
    </row>
    <row r="619" spans="1:17" x14ac:dyDescent="0.35">
      <c r="A619" s="2" t="s">
        <v>1816</v>
      </c>
      <c r="B619" s="2" t="s">
        <v>1817</v>
      </c>
      <c r="C619" s="2" t="s">
        <v>10</v>
      </c>
      <c r="D619" s="2" t="s">
        <v>70</v>
      </c>
      <c r="E619" s="2" t="s">
        <v>46</v>
      </c>
      <c r="F619" s="2">
        <v>45</v>
      </c>
      <c r="G619" s="2" t="s">
        <v>32</v>
      </c>
      <c r="H619" s="3" t="s">
        <v>937</v>
      </c>
      <c r="I619" s="3" t="s">
        <v>1818</v>
      </c>
      <c r="J619" s="2" t="s">
        <v>6</v>
      </c>
      <c r="K619" s="2">
        <v>41395</v>
      </c>
      <c r="L619" s="2">
        <v>3</v>
      </c>
      <c r="M619" s="2">
        <v>4</v>
      </c>
      <c r="N619" s="2" t="s">
        <v>8</v>
      </c>
      <c r="O619" s="2">
        <v>6</v>
      </c>
      <c r="P619" s="2">
        <f ca="1">ROUND((IF(I619="",TODAY(),I619)-H619)/365,1)</f>
        <v>0.8</v>
      </c>
      <c r="Q619" s="2" t="str">
        <f t="shared" si="9"/>
        <v>N/A</v>
      </c>
    </row>
    <row r="620" spans="1:17" x14ac:dyDescent="0.35">
      <c r="A620" s="2" t="s">
        <v>1819</v>
      </c>
      <c r="B620" s="2" t="s">
        <v>401</v>
      </c>
      <c r="C620" s="2" t="s">
        <v>5</v>
      </c>
      <c r="D620" s="2" t="s">
        <v>102</v>
      </c>
      <c r="E620" s="2" t="s">
        <v>31</v>
      </c>
      <c r="F620" s="2">
        <v>52</v>
      </c>
      <c r="G620" s="2" t="s">
        <v>56</v>
      </c>
      <c r="H620" s="3" t="s">
        <v>1820</v>
      </c>
      <c r="I620" s="3" t="s">
        <v>1821</v>
      </c>
      <c r="J620" s="2" t="s">
        <v>6</v>
      </c>
      <c r="K620" s="2">
        <v>137484</v>
      </c>
      <c r="L620" s="2">
        <v>4</v>
      </c>
      <c r="M620" s="2">
        <v>2</v>
      </c>
      <c r="N620" s="2" t="s">
        <v>6</v>
      </c>
      <c r="O620" s="2">
        <v>41</v>
      </c>
      <c r="P620" s="2">
        <f ca="1">ROUND((IF(I620="",TODAY(),I620)-H620)/365,1)</f>
        <v>1.9</v>
      </c>
      <c r="Q620" s="2" t="str">
        <f t="shared" si="9"/>
        <v>N/A</v>
      </c>
    </row>
    <row r="621" spans="1:17" x14ac:dyDescent="0.35">
      <c r="A621" s="2" t="s">
        <v>1822</v>
      </c>
      <c r="B621" s="2" t="s">
        <v>1823</v>
      </c>
      <c r="C621" s="2" t="s">
        <v>10</v>
      </c>
      <c r="D621" s="2" t="s">
        <v>111</v>
      </c>
      <c r="E621" s="2" t="s">
        <v>46</v>
      </c>
      <c r="F621" s="2">
        <v>29</v>
      </c>
      <c r="G621" s="2" t="s">
        <v>78</v>
      </c>
      <c r="H621" s="3" t="s">
        <v>1824</v>
      </c>
      <c r="I621" s="2"/>
      <c r="J621" s="2" t="s">
        <v>8</v>
      </c>
      <c r="K621" s="2">
        <v>27572</v>
      </c>
      <c r="L621" s="2">
        <v>4</v>
      </c>
      <c r="M621" s="2">
        <v>4</v>
      </c>
      <c r="N621" s="2" t="s">
        <v>8</v>
      </c>
      <c r="O621" s="2">
        <v>31</v>
      </c>
      <c r="P621" s="2">
        <f ca="1">ROUND((IF(I621="",TODAY(),I621)-H621)/365,1)</f>
        <v>9.6999999999999993</v>
      </c>
      <c r="Q621" s="2" t="str">
        <f t="shared" si="9"/>
        <v>Low</v>
      </c>
    </row>
    <row r="622" spans="1:17" x14ac:dyDescent="0.35">
      <c r="A622" s="2" t="s">
        <v>1825</v>
      </c>
      <c r="B622" s="2" t="s">
        <v>1826</v>
      </c>
      <c r="C622" s="2" t="s">
        <v>7</v>
      </c>
      <c r="D622" s="2" t="s">
        <v>125</v>
      </c>
      <c r="E622" s="2" t="s">
        <v>46</v>
      </c>
      <c r="F622" s="2">
        <v>22</v>
      </c>
      <c r="G622" s="2" t="s">
        <v>56</v>
      </c>
      <c r="H622" s="3" t="s">
        <v>494</v>
      </c>
      <c r="I622" s="2"/>
      <c r="J622" s="2" t="s">
        <v>8</v>
      </c>
      <c r="K622" s="2">
        <v>121610</v>
      </c>
      <c r="L622" s="2">
        <v>4</v>
      </c>
      <c r="M622" s="2">
        <v>4</v>
      </c>
      <c r="N622" s="2" t="s">
        <v>8</v>
      </c>
      <c r="O622" s="2">
        <v>32</v>
      </c>
      <c r="P622" s="2">
        <f ca="1">ROUND((IF(I622="",TODAY(),I622)-H622)/365,1)</f>
        <v>10.5</v>
      </c>
      <c r="Q622" s="2" t="str">
        <f t="shared" si="9"/>
        <v>Low</v>
      </c>
    </row>
    <row r="623" spans="1:17" x14ac:dyDescent="0.35">
      <c r="A623" s="2" t="s">
        <v>1827</v>
      </c>
      <c r="B623" s="2" t="s">
        <v>1828</v>
      </c>
      <c r="C623" s="2" t="s">
        <v>11</v>
      </c>
      <c r="D623" s="2" t="s">
        <v>66</v>
      </c>
      <c r="E623" s="2" t="s">
        <v>31</v>
      </c>
      <c r="F623" s="2">
        <v>53</v>
      </c>
      <c r="G623" s="2" t="s">
        <v>32</v>
      </c>
      <c r="H623" s="3" t="s">
        <v>957</v>
      </c>
      <c r="I623" s="2"/>
      <c r="J623" s="2" t="s">
        <v>8</v>
      </c>
      <c r="K623" s="2">
        <v>118623</v>
      </c>
      <c r="L623" s="2">
        <v>4</v>
      </c>
      <c r="M623" s="2">
        <v>5</v>
      </c>
      <c r="N623" s="2" t="s">
        <v>8</v>
      </c>
      <c r="O623" s="2">
        <v>15</v>
      </c>
      <c r="P623" s="2">
        <f ca="1">ROUND((IF(I623="",TODAY(),I623)-H623)/365,1)</f>
        <v>5.9</v>
      </c>
      <c r="Q623" s="2" t="str">
        <f t="shared" si="9"/>
        <v>Low</v>
      </c>
    </row>
    <row r="624" spans="1:17" x14ac:dyDescent="0.35">
      <c r="A624" s="2" t="s">
        <v>1829</v>
      </c>
      <c r="B624" s="2" t="s">
        <v>1830</v>
      </c>
      <c r="C624" s="2" t="s">
        <v>10</v>
      </c>
      <c r="D624" s="2" t="s">
        <v>70</v>
      </c>
      <c r="E624" s="2" t="s">
        <v>46</v>
      </c>
      <c r="F624" s="2">
        <v>39</v>
      </c>
      <c r="G624" s="2" t="s">
        <v>56</v>
      </c>
      <c r="H624" s="3" t="s">
        <v>982</v>
      </c>
      <c r="I624" s="2"/>
      <c r="J624" s="2" t="s">
        <v>8</v>
      </c>
      <c r="K624" s="2">
        <v>106618</v>
      </c>
      <c r="L624" s="2">
        <v>1</v>
      </c>
      <c r="M624" s="2">
        <v>4</v>
      </c>
      <c r="N624" s="2" t="s">
        <v>8</v>
      </c>
      <c r="O624" s="2">
        <v>32</v>
      </c>
      <c r="P624" s="2">
        <f ca="1">ROUND((IF(I624="",TODAY(),I624)-H624)/365,1)</f>
        <v>1.6</v>
      </c>
      <c r="Q624" s="2" t="str">
        <f t="shared" si="9"/>
        <v>Low</v>
      </c>
    </row>
    <row r="625" spans="1:17" x14ac:dyDescent="0.35">
      <c r="A625" s="2" t="s">
        <v>1831</v>
      </c>
      <c r="B625" s="2" t="s">
        <v>1832</v>
      </c>
      <c r="C625" s="2" t="s">
        <v>12</v>
      </c>
      <c r="D625" s="2" t="s">
        <v>133</v>
      </c>
      <c r="E625" s="2" t="s">
        <v>31</v>
      </c>
      <c r="F625" s="2">
        <v>34</v>
      </c>
      <c r="G625" s="2" t="s">
        <v>56</v>
      </c>
      <c r="H625" s="3" t="s">
        <v>1833</v>
      </c>
      <c r="I625" s="3" t="s">
        <v>1834</v>
      </c>
      <c r="J625" s="2" t="s">
        <v>6</v>
      </c>
      <c r="K625" s="2">
        <v>102025</v>
      </c>
      <c r="L625" s="2">
        <v>5</v>
      </c>
      <c r="M625" s="2">
        <v>2</v>
      </c>
      <c r="N625" s="2" t="s">
        <v>6</v>
      </c>
      <c r="O625" s="2">
        <v>15</v>
      </c>
      <c r="P625" s="2">
        <f ca="1">ROUND((IF(I625="",TODAY(),I625)-H625)/365,1)</f>
        <v>5.4</v>
      </c>
      <c r="Q625" s="2" t="str">
        <f t="shared" si="9"/>
        <v>N/A</v>
      </c>
    </row>
    <row r="626" spans="1:17" x14ac:dyDescent="0.35">
      <c r="A626" s="2" t="s">
        <v>1835</v>
      </c>
      <c r="B626" s="2" t="s">
        <v>1475</v>
      </c>
      <c r="C626" s="2" t="s">
        <v>7</v>
      </c>
      <c r="D626" s="2" t="s">
        <v>125</v>
      </c>
      <c r="E626" s="2" t="s">
        <v>46</v>
      </c>
      <c r="F626" s="2">
        <v>52</v>
      </c>
      <c r="G626" s="2" t="s">
        <v>56</v>
      </c>
      <c r="H626" s="3" t="s">
        <v>1836</v>
      </c>
      <c r="I626" s="2"/>
      <c r="J626" s="2" t="s">
        <v>8</v>
      </c>
      <c r="K626" s="2">
        <v>62022</v>
      </c>
      <c r="L626" s="2">
        <v>5</v>
      </c>
      <c r="M626" s="2">
        <v>2</v>
      </c>
      <c r="N626" s="2" t="s">
        <v>8</v>
      </c>
      <c r="O626" s="2">
        <v>14</v>
      </c>
      <c r="P626" s="2">
        <f ca="1">ROUND((IF(I626="",TODAY(),I626)-H626)/365,1)</f>
        <v>2.6</v>
      </c>
      <c r="Q626" s="2" t="str">
        <f t="shared" si="9"/>
        <v>Medium</v>
      </c>
    </row>
    <row r="627" spans="1:17" x14ac:dyDescent="0.35">
      <c r="A627" s="2" t="s">
        <v>1837</v>
      </c>
      <c r="B627" s="2" t="s">
        <v>946</v>
      </c>
      <c r="C627" s="2" t="s">
        <v>12</v>
      </c>
      <c r="D627" s="2" t="s">
        <v>133</v>
      </c>
      <c r="E627" s="2" t="s">
        <v>31</v>
      </c>
      <c r="F627" s="2">
        <v>32</v>
      </c>
      <c r="G627" s="2" t="s">
        <v>32</v>
      </c>
      <c r="H627" s="3" t="s">
        <v>1838</v>
      </c>
      <c r="I627" s="2"/>
      <c r="J627" s="2" t="s">
        <v>8</v>
      </c>
      <c r="K627" s="2">
        <v>55765</v>
      </c>
      <c r="L627" s="2">
        <v>4</v>
      </c>
      <c r="M627" s="2">
        <v>4</v>
      </c>
      <c r="N627" s="2" t="s">
        <v>8</v>
      </c>
      <c r="O627" s="2">
        <v>20</v>
      </c>
      <c r="P627" s="2">
        <f ca="1">ROUND((IF(I627="",TODAY(),I627)-H627)/365,1)</f>
        <v>4.8</v>
      </c>
      <c r="Q627" s="2" t="str">
        <f t="shared" si="9"/>
        <v>Low</v>
      </c>
    </row>
    <row r="628" spans="1:17" x14ac:dyDescent="0.35">
      <c r="A628" s="2" t="s">
        <v>1839</v>
      </c>
      <c r="B628" s="2" t="s">
        <v>952</v>
      </c>
      <c r="C628" s="2" t="s">
        <v>5</v>
      </c>
      <c r="D628" s="2" t="s">
        <v>207</v>
      </c>
      <c r="E628" s="2" t="s">
        <v>46</v>
      </c>
      <c r="F628" s="2">
        <v>33</v>
      </c>
      <c r="G628" s="2" t="s">
        <v>78</v>
      </c>
      <c r="H628" s="3" t="s">
        <v>1840</v>
      </c>
      <c r="I628" s="3" t="s">
        <v>1841</v>
      </c>
      <c r="J628" s="2" t="s">
        <v>6</v>
      </c>
      <c r="K628" s="2">
        <v>69267</v>
      </c>
      <c r="L628" s="2">
        <v>1</v>
      </c>
      <c r="M628" s="2">
        <v>5</v>
      </c>
      <c r="N628" s="2" t="s">
        <v>8</v>
      </c>
      <c r="O628" s="2">
        <v>5</v>
      </c>
      <c r="P628" s="2">
        <f ca="1">ROUND((IF(I628="",TODAY(),I628)-H628)/365,1)</f>
        <v>0.8</v>
      </c>
      <c r="Q628" s="2" t="str">
        <f t="shared" si="9"/>
        <v>N/A</v>
      </c>
    </row>
    <row r="629" spans="1:17" x14ac:dyDescent="0.35">
      <c r="A629" s="2" t="s">
        <v>1842</v>
      </c>
      <c r="B629" s="2" t="s">
        <v>1843</v>
      </c>
      <c r="C629" s="2" t="s">
        <v>5</v>
      </c>
      <c r="D629" s="2" t="s">
        <v>102</v>
      </c>
      <c r="E629" s="2" t="s">
        <v>31</v>
      </c>
      <c r="F629" s="2">
        <v>43</v>
      </c>
      <c r="G629" s="2" t="s">
        <v>32</v>
      </c>
      <c r="H629" s="3" t="s">
        <v>1844</v>
      </c>
      <c r="I629" s="2"/>
      <c r="J629" s="2" t="s">
        <v>8</v>
      </c>
      <c r="K629" s="2">
        <v>142482</v>
      </c>
      <c r="L629" s="2">
        <v>5</v>
      </c>
      <c r="M629" s="2">
        <v>1</v>
      </c>
      <c r="N629" s="2" t="s">
        <v>8</v>
      </c>
      <c r="O629" s="2">
        <v>18</v>
      </c>
      <c r="P629" s="2">
        <f ca="1">ROUND((IF(I629="",TODAY(),I629)-H629)/365,1)</f>
        <v>2.8</v>
      </c>
      <c r="Q629" s="2" t="str">
        <f t="shared" si="9"/>
        <v>Medium</v>
      </c>
    </row>
    <row r="630" spans="1:17" x14ac:dyDescent="0.35">
      <c r="A630" s="2" t="s">
        <v>1845</v>
      </c>
      <c r="B630" s="2" t="s">
        <v>1846</v>
      </c>
      <c r="C630" s="2" t="s">
        <v>11</v>
      </c>
      <c r="D630" s="2" t="s">
        <v>98</v>
      </c>
      <c r="E630" s="2" t="s">
        <v>31</v>
      </c>
      <c r="F630" s="2">
        <v>51</v>
      </c>
      <c r="G630" s="2" t="s">
        <v>32</v>
      </c>
      <c r="H630" s="3" t="s">
        <v>1116</v>
      </c>
      <c r="I630" s="2"/>
      <c r="J630" s="2" t="s">
        <v>8</v>
      </c>
      <c r="K630" s="2">
        <v>127518</v>
      </c>
      <c r="L630" s="2">
        <v>5</v>
      </c>
      <c r="M630" s="2">
        <v>1</v>
      </c>
      <c r="N630" s="2" t="s">
        <v>8</v>
      </c>
      <c r="O630" s="2">
        <v>40</v>
      </c>
      <c r="P630" s="2">
        <f ca="1">ROUND((IF(I630="",TODAY(),I630)-H630)/365,1)</f>
        <v>2.2000000000000002</v>
      </c>
      <c r="Q630" s="2" t="str">
        <f t="shared" si="9"/>
        <v>Medium</v>
      </c>
    </row>
    <row r="631" spans="1:17" x14ac:dyDescent="0.35">
      <c r="A631" s="2" t="s">
        <v>1847</v>
      </c>
      <c r="B631" s="2" t="s">
        <v>1640</v>
      </c>
      <c r="C631" s="2" t="s">
        <v>5</v>
      </c>
      <c r="D631" s="2" t="s">
        <v>102</v>
      </c>
      <c r="E631" s="2" t="s">
        <v>31</v>
      </c>
      <c r="F631" s="2">
        <v>35</v>
      </c>
      <c r="G631" s="2" t="s">
        <v>56</v>
      </c>
      <c r="H631" s="3" t="s">
        <v>1848</v>
      </c>
      <c r="I631" s="2"/>
      <c r="J631" s="2" t="s">
        <v>8</v>
      </c>
      <c r="K631" s="2">
        <v>90325</v>
      </c>
      <c r="L631" s="2">
        <v>4</v>
      </c>
      <c r="M631" s="2">
        <v>3</v>
      </c>
      <c r="N631" s="2" t="s">
        <v>8</v>
      </c>
      <c r="O631" s="2">
        <v>33</v>
      </c>
      <c r="P631" s="2">
        <f ca="1">ROUND((IF(I631="",TODAY(),I631)-H631)/365,1)</f>
        <v>1.4</v>
      </c>
      <c r="Q631" s="2" t="str">
        <f t="shared" si="9"/>
        <v>Low</v>
      </c>
    </row>
    <row r="632" spans="1:17" x14ac:dyDescent="0.35">
      <c r="A632" s="2" t="s">
        <v>1849</v>
      </c>
      <c r="B632" s="2" t="s">
        <v>1606</v>
      </c>
      <c r="C632" s="2" t="s">
        <v>7</v>
      </c>
      <c r="D632" s="2" t="s">
        <v>37</v>
      </c>
      <c r="E632" s="2" t="s">
        <v>46</v>
      </c>
      <c r="F632" s="2">
        <v>29</v>
      </c>
      <c r="G632" s="2" t="s">
        <v>78</v>
      </c>
      <c r="H632" s="3" t="s">
        <v>1850</v>
      </c>
      <c r="I632" s="2"/>
      <c r="J632" s="2" t="s">
        <v>8</v>
      </c>
      <c r="K632" s="2">
        <v>134420</v>
      </c>
      <c r="L632" s="2">
        <v>1</v>
      </c>
      <c r="M632" s="2">
        <v>4</v>
      </c>
      <c r="N632" s="2" t="s">
        <v>6</v>
      </c>
      <c r="O632" s="2">
        <v>16</v>
      </c>
      <c r="P632" s="2">
        <f ca="1">ROUND((IF(I632="",TODAY(),I632)-H632)/365,1)</f>
        <v>2.1</v>
      </c>
      <c r="Q632" s="2" t="str">
        <f t="shared" si="9"/>
        <v>Medium</v>
      </c>
    </row>
    <row r="633" spans="1:17" x14ac:dyDescent="0.35">
      <c r="A633" s="2" t="s">
        <v>1851</v>
      </c>
      <c r="B633" s="2" t="s">
        <v>1852</v>
      </c>
      <c r="C633" s="2" t="s">
        <v>11</v>
      </c>
      <c r="D633" s="2" t="s">
        <v>45</v>
      </c>
      <c r="E633" s="2" t="s">
        <v>31</v>
      </c>
      <c r="F633" s="2">
        <v>48</v>
      </c>
      <c r="G633" s="2" t="s">
        <v>32</v>
      </c>
      <c r="H633" s="3" t="s">
        <v>476</v>
      </c>
      <c r="I633" s="3" t="s">
        <v>1853</v>
      </c>
      <c r="J633" s="2" t="s">
        <v>6</v>
      </c>
      <c r="K633" s="2">
        <v>80275</v>
      </c>
      <c r="L633" s="2">
        <v>2</v>
      </c>
      <c r="M633" s="2">
        <v>2</v>
      </c>
      <c r="N633" s="2" t="s">
        <v>8</v>
      </c>
      <c r="O633" s="2">
        <v>34</v>
      </c>
      <c r="P633" s="2">
        <f ca="1">ROUND((IF(I633="",TODAY(),I633)-H633)/365,1)</f>
        <v>5</v>
      </c>
      <c r="Q633" s="2" t="str">
        <f t="shared" si="9"/>
        <v>N/A</v>
      </c>
    </row>
    <row r="634" spans="1:17" x14ac:dyDescent="0.35">
      <c r="A634" s="2" t="s">
        <v>1854</v>
      </c>
      <c r="B634" s="2" t="s">
        <v>443</v>
      </c>
      <c r="C634" s="2" t="s">
        <v>10</v>
      </c>
      <c r="D634" s="2" t="s">
        <v>258</v>
      </c>
      <c r="E634" s="2" t="s">
        <v>46</v>
      </c>
      <c r="F634" s="2">
        <v>23</v>
      </c>
      <c r="G634" s="2" t="s">
        <v>78</v>
      </c>
      <c r="H634" s="3" t="s">
        <v>1855</v>
      </c>
      <c r="I634" s="3" t="s">
        <v>1856</v>
      </c>
      <c r="J634" s="2" t="s">
        <v>6</v>
      </c>
      <c r="K634" s="2">
        <v>36112</v>
      </c>
      <c r="L634" s="2">
        <v>5</v>
      </c>
      <c r="M634" s="2">
        <v>1</v>
      </c>
      <c r="N634" s="2" t="s">
        <v>6</v>
      </c>
      <c r="O634" s="2">
        <v>5</v>
      </c>
      <c r="P634" s="2">
        <f ca="1">ROUND((IF(I634="",TODAY(),I634)-H634)/365,1)</f>
        <v>2</v>
      </c>
      <c r="Q634" s="2" t="str">
        <f t="shared" si="9"/>
        <v>N/A</v>
      </c>
    </row>
    <row r="635" spans="1:17" x14ac:dyDescent="0.35">
      <c r="A635" s="2" t="s">
        <v>1857</v>
      </c>
      <c r="B635" s="2" t="s">
        <v>1858</v>
      </c>
      <c r="C635" s="2" t="s">
        <v>10</v>
      </c>
      <c r="D635" s="2" t="s">
        <v>111</v>
      </c>
      <c r="E635" s="2" t="s">
        <v>46</v>
      </c>
      <c r="F635" s="2">
        <v>58</v>
      </c>
      <c r="G635" s="2" t="s">
        <v>56</v>
      </c>
      <c r="H635" s="3" t="s">
        <v>1859</v>
      </c>
      <c r="I635" s="2"/>
      <c r="J635" s="2" t="s">
        <v>8</v>
      </c>
      <c r="K635" s="2">
        <v>77691</v>
      </c>
      <c r="L635" s="2">
        <v>3</v>
      </c>
      <c r="M635" s="2">
        <v>5</v>
      </c>
      <c r="N635" s="2" t="s">
        <v>8</v>
      </c>
      <c r="O635" s="2">
        <v>27</v>
      </c>
      <c r="P635" s="2">
        <f ca="1">ROUND((IF(I635="",TODAY(),I635)-H635)/365,1)</f>
        <v>11</v>
      </c>
      <c r="Q635" s="2" t="str">
        <f t="shared" si="9"/>
        <v>Low</v>
      </c>
    </row>
    <row r="636" spans="1:17" x14ac:dyDescent="0.35">
      <c r="A636" s="2" t="s">
        <v>1860</v>
      </c>
      <c r="B636" s="2" t="s">
        <v>1861</v>
      </c>
      <c r="C636" s="2" t="s">
        <v>9</v>
      </c>
      <c r="D636" s="2" t="s">
        <v>77</v>
      </c>
      <c r="E636" s="2" t="s">
        <v>46</v>
      </c>
      <c r="F636" s="2">
        <v>39</v>
      </c>
      <c r="G636" s="2" t="s">
        <v>32</v>
      </c>
      <c r="H636" s="3" t="s">
        <v>1862</v>
      </c>
      <c r="I636" s="2"/>
      <c r="J636" s="2" t="s">
        <v>8</v>
      </c>
      <c r="K636" s="2">
        <v>109394</v>
      </c>
      <c r="L636" s="2">
        <v>4</v>
      </c>
      <c r="M636" s="2">
        <v>2</v>
      </c>
      <c r="N636" s="2" t="s">
        <v>8</v>
      </c>
      <c r="O636" s="2">
        <v>29</v>
      </c>
      <c r="P636" s="2">
        <f ca="1">ROUND((IF(I636="",TODAY(),I636)-H636)/365,1)</f>
        <v>1.5</v>
      </c>
      <c r="Q636" s="2" t="str">
        <f t="shared" si="9"/>
        <v>Medium</v>
      </c>
    </row>
    <row r="637" spans="1:17" x14ac:dyDescent="0.35">
      <c r="A637" s="2" t="s">
        <v>1863</v>
      </c>
      <c r="B637" s="2" t="s">
        <v>1617</v>
      </c>
      <c r="C637" s="2" t="s">
        <v>11</v>
      </c>
      <c r="D637" s="2" t="s">
        <v>98</v>
      </c>
      <c r="E637" s="2" t="s">
        <v>46</v>
      </c>
      <c r="F637" s="2">
        <v>34</v>
      </c>
      <c r="G637" s="2" t="s">
        <v>56</v>
      </c>
      <c r="H637" s="3" t="s">
        <v>1864</v>
      </c>
      <c r="I637" s="2"/>
      <c r="J637" s="2" t="s">
        <v>8</v>
      </c>
      <c r="K637" s="2">
        <v>76117</v>
      </c>
      <c r="L637" s="2">
        <v>5</v>
      </c>
      <c r="M637" s="2">
        <v>1</v>
      </c>
      <c r="N637" s="2" t="s">
        <v>6</v>
      </c>
      <c r="O637" s="2">
        <v>22</v>
      </c>
      <c r="P637" s="2">
        <f ca="1">ROUND((IF(I637="",TODAY(),I637)-H637)/365,1)</f>
        <v>1.7</v>
      </c>
      <c r="Q637" s="2" t="str">
        <f t="shared" si="9"/>
        <v>High</v>
      </c>
    </row>
    <row r="638" spans="1:17" x14ac:dyDescent="0.35">
      <c r="A638" s="2" t="s">
        <v>1865</v>
      </c>
      <c r="B638" s="2" t="s">
        <v>798</v>
      </c>
      <c r="C638" s="2" t="s">
        <v>7</v>
      </c>
      <c r="D638" s="2" t="s">
        <v>37</v>
      </c>
      <c r="E638" s="2" t="s">
        <v>46</v>
      </c>
      <c r="F638" s="2">
        <v>54</v>
      </c>
      <c r="G638" s="2" t="s">
        <v>56</v>
      </c>
      <c r="H638" s="3" t="s">
        <v>1866</v>
      </c>
      <c r="I638" s="2"/>
      <c r="J638" s="2" t="s">
        <v>8</v>
      </c>
      <c r="K638" s="2">
        <v>28655</v>
      </c>
      <c r="L638" s="2">
        <v>2</v>
      </c>
      <c r="M638" s="2">
        <v>3</v>
      </c>
      <c r="N638" s="2" t="s">
        <v>6</v>
      </c>
      <c r="O638" s="2">
        <v>2</v>
      </c>
      <c r="P638" s="2">
        <f ca="1">ROUND((IF(I638="",TODAY(),I638)-H638)/365,1)</f>
        <v>5.4</v>
      </c>
      <c r="Q638" s="2" t="str">
        <f t="shared" si="9"/>
        <v>Medium</v>
      </c>
    </row>
    <row r="639" spans="1:17" x14ac:dyDescent="0.35">
      <c r="A639" s="2" t="s">
        <v>1867</v>
      </c>
      <c r="B639" s="2" t="s">
        <v>1096</v>
      </c>
      <c r="C639" s="2" t="s">
        <v>7</v>
      </c>
      <c r="D639" s="2" t="s">
        <v>125</v>
      </c>
      <c r="E639" s="2" t="s">
        <v>46</v>
      </c>
      <c r="F639" s="2">
        <v>25</v>
      </c>
      <c r="G639" s="2" t="s">
        <v>56</v>
      </c>
      <c r="H639" s="3" t="s">
        <v>1116</v>
      </c>
      <c r="I639" s="2"/>
      <c r="J639" s="2" t="s">
        <v>8</v>
      </c>
      <c r="K639" s="2">
        <v>31256</v>
      </c>
      <c r="L639" s="2">
        <v>3</v>
      </c>
      <c r="M639" s="2">
        <v>5</v>
      </c>
      <c r="N639" s="2" t="s">
        <v>8</v>
      </c>
      <c r="O639" s="2">
        <v>8</v>
      </c>
      <c r="P639" s="2">
        <f ca="1">ROUND((IF(I639="",TODAY(),I639)-H639)/365,1)</f>
        <v>2.2000000000000002</v>
      </c>
      <c r="Q639" s="2" t="str">
        <f t="shared" si="9"/>
        <v>Low</v>
      </c>
    </row>
    <row r="640" spans="1:17" x14ac:dyDescent="0.35">
      <c r="A640" s="2" t="s">
        <v>1868</v>
      </c>
      <c r="B640" s="2" t="s">
        <v>1216</v>
      </c>
      <c r="C640" s="2" t="s">
        <v>10</v>
      </c>
      <c r="D640" s="2" t="s">
        <v>258</v>
      </c>
      <c r="E640" s="2" t="s">
        <v>31</v>
      </c>
      <c r="F640" s="2">
        <v>37</v>
      </c>
      <c r="G640" s="2" t="s">
        <v>56</v>
      </c>
      <c r="H640" s="3" t="s">
        <v>1869</v>
      </c>
      <c r="I640" s="2"/>
      <c r="J640" s="2" t="s">
        <v>8</v>
      </c>
      <c r="K640" s="2">
        <v>112231</v>
      </c>
      <c r="L640" s="2">
        <v>5</v>
      </c>
      <c r="M640" s="2">
        <v>5</v>
      </c>
      <c r="N640" s="2" t="s">
        <v>8</v>
      </c>
      <c r="O640" s="2">
        <v>41</v>
      </c>
      <c r="P640" s="2">
        <f ca="1">ROUND((IF(I640="",TODAY(),I640)-H640)/365,1)</f>
        <v>2.6</v>
      </c>
      <c r="Q640" s="2" t="str">
        <f t="shared" si="9"/>
        <v>Low</v>
      </c>
    </row>
    <row r="641" spans="1:17" x14ac:dyDescent="0.35">
      <c r="A641" s="2" t="s">
        <v>1870</v>
      </c>
      <c r="B641" s="2" t="s">
        <v>1807</v>
      </c>
      <c r="C641" s="2" t="s">
        <v>7</v>
      </c>
      <c r="D641" s="2" t="s">
        <v>125</v>
      </c>
      <c r="E641" s="2" t="s">
        <v>46</v>
      </c>
      <c r="F641" s="2">
        <v>30</v>
      </c>
      <c r="G641" s="2" t="s">
        <v>56</v>
      </c>
      <c r="H641" s="3" t="s">
        <v>432</v>
      </c>
      <c r="I641" s="3" t="s">
        <v>1871</v>
      </c>
      <c r="J641" s="2" t="s">
        <v>6</v>
      </c>
      <c r="K641" s="2">
        <v>92692</v>
      </c>
      <c r="L641" s="2">
        <v>1</v>
      </c>
      <c r="M641" s="2">
        <v>2</v>
      </c>
      <c r="N641" s="2" t="s">
        <v>8</v>
      </c>
      <c r="O641" s="2">
        <v>21</v>
      </c>
      <c r="P641" s="2">
        <f ca="1">ROUND((IF(I641="",TODAY(),I641)-H641)/365,1)</f>
        <v>2.2000000000000002</v>
      </c>
      <c r="Q641" s="2" t="str">
        <f t="shared" si="9"/>
        <v>N/A</v>
      </c>
    </row>
    <row r="642" spans="1:17" x14ac:dyDescent="0.35">
      <c r="A642" s="2" t="s">
        <v>1872</v>
      </c>
      <c r="B642" s="2" t="s">
        <v>1873</v>
      </c>
      <c r="C642" s="2" t="s">
        <v>10</v>
      </c>
      <c r="D642" s="2" t="s">
        <v>111</v>
      </c>
      <c r="E642" s="2" t="s">
        <v>31</v>
      </c>
      <c r="F642" s="2">
        <v>27</v>
      </c>
      <c r="G642" s="2" t="s">
        <v>32</v>
      </c>
      <c r="H642" s="3" t="s">
        <v>1874</v>
      </c>
      <c r="I642" s="3" t="s">
        <v>1875</v>
      </c>
      <c r="J642" s="2" t="s">
        <v>6</v>
      </c>
      <c r="K642" s="2">
        <v>83479</v>
      </c>
      <c r="L642" s="2">
        <v>4</v>
      </c>
      <c r="M642" s="2">
        <v>2</v>
      </c>
      <c r="N642" s="2" t="s">
        <v>6</v>
      </c>
      <c r="O642" s="2">
        <v>14</v>
      </c>
      <c r="P642" s="2">
        <f ca="1">ROUND((IF(I642="",TODAY(),I642)-H642)/365,1)</f>
        <v>6.1</v>
      </c>
      <c r="Q642" s="2" t="str">
        <f t="shared" ref="Q642:Q705" si="10">IF(J642="No",IF(AND(M642&lt;=2,N642="Yes"),"High",IF(OR(M642&lt;=2,N642="Yes"),"Medium","Low")),"N/A")</f>
        <v>N/A</v>
      </c>
    </row>
    <row r="643" spans="1:17" x14ac:dyDescent="0.35">
      <c r="A643" s="2" t="s">
        <v>1876</v>
      </c>
      <c r="B643" s="2" t="s">
        <v>1877</v>
      </c>
      <c r="C643" s="2" t="s">
        <v>10</v>
      </c>
      <c r="D643" s="2" t="s">
        <v>70</v>
      </c>
      <c r="E643" s="2" t="s">
        <v>46</v>
      </c>
      <c r="F643" s="2">
        <v>53</v>
      </c>
      <c r="G643" s="2" t="s">
        <v>32</v>
      </c>
      <c r="H643" s="3" t="s">
        <v>1878</v>
      </c>
      <c r="I643" s="3" t="s">
        <v>1879</v>
      </c>
      <c r="J643" s="2" t="s">
        <v>6</v>
      </c>
      <c r="K643" s="2">
        <v>132978</v>
      </c>
      <c r="L643" s="2">
        <v>4</v>
      </c>
      <c r="M643" s="2">
        <v>4</v>
      </c>
      <c r="N643" s="2" t="s">
        <v>8</v>
      </c>
      <c r="O643" s="2">
        <v>27</v>
      </c>
      <c r="P643" s="2">
        <f ca="1">ROUND((IF(I643="",TODAY(),I643)-H643)/365,1)</f>
        <v>0.9</v>
      </c>
      <c r="Q643" s="2" t="str">
        <f t="shared" si="10"/>
        <v>N/A</v>
      </c>
    </row>
    <row r="644" spans="1:17" x14ac:dyDescent="0.35">
      <c r="A644" s="2" t="s">
        <v>1880</v>
      </c>
      <c r="B644" s="2" t="s">
        <v>596</v>
      </c>
      <c r="C644" s="2" t="s">
        <v>10</v>
      </c>
      <c r="D644" s="2" t="s">
        <v>70</v>
      </c>
      <c r="E644" s="2" t="s">
        <v>46</v>
      </c>
      <c r="F644" s="2">
        <v>55</v>
      </c>
      <c r="G644" s="2" t="s">
        <v>32</v>
      </c>
      <c r="H644" s="3" t="s">
        <v>1881</v>
      </c>
      <c r="I644" s="2"/>
      <c r="J644" s="2" t="s">
        <v>8</v>
      </c>
      <c r="K644" s="2">
        <v>122844</v>
      </c>
      <c r="L644" s="2">
        <v>4</v>
      </c>
      <c r="M644" s="2">
        <v>4</v>
      </c>
      <c r="N644" s="2" t="s">
        <v>8</v>
      </c>
      <c r="O644" s="2">
        <v>3</v>
      </c>
      <c r="P644" s="2">
        <f ca="1">ROUND((IF(I644="",TODAY(),I644)-H644)/365,1)</f>
        <v>10.3</v>
      </c>
      <c r="Q644" s="2" t="str">
        <f t="shared" si="10"/>
        <v>Low</v>
      </c>
    </row>
    <row r="645" spans="1:17" x14ac:dyDescent="0.35">
      <c r="A645" s="2" t="s">
        <v>1882</v>
      </c>
      <c r="B645" s="2" t="s">
        <v>1883</v>
      </c>
      <c r="C645" s="2" t="s">
        <v>9</v>
      </c>
      <c r="D645" s="2" t="s">
        <v>51</v>
      </c>
      <c r="E645" s="2" t="s">
        <v>46</v>
      </c>
      <c r="F645" s="2">
        <v>45</v>
      </c>
      <c r="G645" s="2" t="s">
        <v>78</v>
      </c>
      <c r="H645" s="3" t="s">
        <v>1884</v>
      </c>
      <c r="I645" s="2"/>
      <c r="J645" s="2" t="s">
        <v>8</v>
      </c>
      <c r="K645" s="2">
        <v>73688</v>
      </c>
      <c r="L645" s="2">
        <v>2</v>
      </c>
      <c r="M645" s="2">
        <v>5</v>
      </c>
      <c r="N645" s="2" t="s">
        <v>6</v>
      </c>
      <c r="O645" s="2">
        <v>8</v>
      </c>
      <c r="P645" s="2">
        <f ca="1">ROUND((IF(I645="",TODAY(),I645)-H645)/365,1)</f>
        <v>5.2</v>
      </c>
      <c r="Q645" s="2" t="str">
        <f t="shared" si="10"/>
        <v>Medium</v>
      </c>
    </row>
    <row r="646" spans="1:17" x14ac:dyDescent="0.35">
      <c r="A646" s="2" t="s">
        <v>1885</v>
      </c>
      <c r="B646" s="2" t="s">
        <v>1886</v>
      </c>
      <c r="C646" s="2" t="s">
        <v>9</v>
      </c>
      <c r="D646" s="2" t="s">
        <v>41</v>
      </c>
      <c r="E646" s="2" t="s">
        <v>46</v>
      </c>
      <c r="F646" s="2">
        <v>31</v>
      </c>
      <c r="G646" s="2" t="s">
        <v>32</v>
      </c>
      <c r="H646" s="3" t="s">
        <v>1887</v>
      </c>
      <c r="I646" s="2"/>
      <c r="J646" s="2" t="s">
        <v>8</v>
      </c>
      <c r="K646" s="2">
        <v>53256</v>
      </c>
      <c r="L646" s="2">
        <v>3</v>
      </c>
      <c r="M646" s="2">
        <v>1</v>
      </c>
      <c r="N646" s="2" t="s">
        <v>8</v>
      </c>
      <c r="O646" s="2">
        <v>19</v>
      </c>
      <c r="P646" s="2">
        <f ca="1">ROUND((IF(I646="",TODAY(),I646)-H646)/365,1)</f>
        <v>2.8</v>
      </c>
      <c r="Q646" s="2" t="str">
        <f t="shared" si="10"/>
        <v>Medium</v>
      </c>
    </row>
    <row r="647" spans="1:17" x14ac:dyDescent="0.35">
      <c r="A647" s="2" t="s">
        <v>1888</v>
      </c>
      <c r="B647" s="2" t="s">
        <v>1241</v>
      </c>
      <c r="C647" s="2" t="s">
        <v>10</v>
      </c>
      <c r="D647" s="2" t="s">
        <v>111</v>
      </c>
      <c r="E647" s="2" t="s">
        <v>31</v>
      </c>
      <c r="F647" s="2">
        <v>26</v>
      </c>
      <c r="G647" s="2" t="s">
        <v>78</v>
      </c>
      <c r="H647" s="3" t="s">
        <v>954</v>
      </c>
      <c r="I647" s="2"/>
      <c r="J647" s="2" t="s">
        <v>8</v>
      </c>
      <c r="K647" s="2">
        <v>99155</v>
      </c>
      <c r="L647" s="2">
        <v>5</v>
      </c>
      <c r="M647" s="2">
        <v>4</v>
      </c>
      <c r="N647" s="2" t="s">
        <v>6</v>
      </c>
      <c r="O647" s="2">
        <v>20</v>
      </c>
      <c r="P647" s="2">
        <f ca="1">ROUND((IF(I647="",TODAY(),I647)-H647)/365,1)</f>
        <v>1.8</v>
      </c>
      <c r="Q647" s="2" t="str">
        <f t="shared" si="10"/>
        <v>Medium</v>
      </c>
    </row>
    <row r="648" spans="1:17" x14ac:dyDescent="0.35">
      <c r="A648" s="2" t="s">
        <v>1889</v>
      </c>
      <c r="B648" s="2" t="s">
        <v>573</v>
      </c>
      <c r="C648" s="2" t="s">
        <v>10</v>
      </c>
      <c r="D648" s="2" t="s">
        <v>258</v>
      </c>
      <c r="E648" s="2" t="s">
        <v>31</v>
      </c>
      <c r="F648" s="2">
        <v>51</v>
      </c>
      <c r="G648" s="2" t="s">
        <v>56</v>
      </c>
      <c r="H648" s="3" t="s">
        <v>1890</v>
      </c>
      <c r="I648" s="2"/>
      <c r="J648" s="2" t="s">
        <v>8</v>
      </c>
      <c r="K648" s="2">
        <v>36706</v>
      </c>
      <c r="L648" s="2">
        <v>2</v>
      </c>
      <c r="M648" s="2">
        <v>4</v>
      </c>
      <c r="N648" s="2" t="s">
        <v>8</v>
      </c>
      <c r="O648" s="2">
        <v>21</v>
      </c>
      <c r="P648" s="2">
        <f ca="1">ROUND((IF(I648="",TODAY(),I648)-H648)/365,1)</f>
        <v>3.1</v>
      </c>
      <c r="Q648" s="2" t="str">
        <f t="shared" si="10"/>
        <v>Low</v>
      </c>
    </row>
    <row r="649" spans="1:17" x14ac:dyDescent="0.35">
      <c r="A649" s="2" t="s">
        <v>1891</v>
      </c>
      <c r="B649" s="2" t="s">
        <v>1190</v>
      </c>
      <c r="C649" s="2" t="s">
        <v>10</v>
      </c>
      <c r="D649" s="2" t="s">
        <v>258</v>
      </c>
      <c r="E649" s="2" t="s">
        <v>31</v>
      </c>
      <c r="F649" s="2">
        <v>56</v>
      </c>
      <c r="G649" s="2" t="s">
        <v>32</v>
      </c>
      <c r="H649" s="3" t="s">
        <v>1892</v>
      </c>
      <c r="I649" s="2"/>
      <c r="J649" s="2" t="s">
        <v>8</v>
      </c>
      <c r="K649" s="2">
        <v>36603</v>
      </c>
      <c r="L649" s="2">
        <v>3</v>
      </c>
      <c r="M649" s="2">
        <v>4</v>
      </c>
      <c r="N649" s="2" t="s">
        <v>8</v>
      </c>
      <c r="O649" s="2">
        <v>42</v>
      </c>
      <c r="P649" s="2">
        <f ca="1">ROUND((IF(I649="",TODAY(),I649)-H649)/365,1)</f>
        <v>11.1</v>
      </c>
      <c r="Q649" s="2" t="str">
        <f t="shared" si="10"/>
        <v>Low</v>
      </c>
    </row>
    <row r="650" spans="1:17" x14ac:dyDescent="0.35">
      <c r="A650" s="2" t="s">
        <v>1893</v>
      </c>
      <c r="B650" s="2" t="s">
        <v>1894</v>
      </c>
      <c r="C650" s="2" t="s">
        <v>11</v>
      </c>
      <c r="D650" s="2" t="s">
        <v>98</v>
      </c>
      <c r="E650" s="2" t="s">
        <v>46</v>
      </c>
      <c r="F650" s="2">
        <v>57</v>
      </c>
      <c r="G650" s="2" t="s">
        <v>32</v>
      </c>
      <c r="H650" s="3" t="s">
        <v>1895</v>
      </c>
      <c r="I650" s="2"/>
      <c r="J650" s="2" t="s">
        <v>8</v>
      </c>
      <c r="K650" s="2">
        <v>124302</v>
      </c>
      <c r="L650" s="2">
        <v>5</v>
      </c>
      <c r="M650" s="2">
        <v>5</v>
      </c>
      <c r="N650" s="2" t="s">
        <v>6</v>
      </c>
      <c r="O650" s="2">
        <v>37</v>
      </c>
      <c r="P650" s="2">
        <f ca="1">ROUND((IF(I650="",TODAY(),I650)-H650)/365,1)</f>
        <v>10.7</v>
      </c>
      <c r="Q650" s="2" t="str">
        <f t="shared" si="10"/>
        <v>Medium</v>
      </c>
    </row>
    <row r="651" spans="1:17" x14ac:dyDescent="0.35">
      <c r="A651" s="2" t="s">
        <v>1896</v>
      </c>
      <c r="B651" s="2" t="s">
        <v>1897</v>
      </c>
      <c r="C651" s="2" t="s">
        <v>11</v>
      </c>
      <c r="D651" s="2" t="s">
        <v>45</v>
      </c>
      <c r="E651" s="2" t="s">
        <v>46</v>
      </c>
      <c r="F651" s="2">
        <v>29</v>
      </c>
      <c r="G651" s="2" t="s">
        <v>32</v>
      </c>
      <c r="H651" s="3" t="s">
        <v>1898</v>
      </c>
      <c r="I651" s="3" t="s">
        <v>1899</v>
      </c>
      <c r="J651" s="2" t="s">
        <v>6</v>
      </c>
      <c r="K651" s="2">
        <v>128121</v>
      </c>
      <c r="L651" s="2">
        <v>1</v>
      </c>
      <c r="M651" s="2">
        <v>2</v>
      </c>
      <c r="N651" s="2" t="s">
        <v>8</v>
      </c>
      <c r="O651" s="2">
        <v>18</v>
      </c>
      <c r="P651" s="2">
        <f ca="1">ROUND((IF(I651="",TODAY(),I651)-H651)/365,1)</f>
        <v>4.0999999999999996</v>
      </c>
      <c r="Q651" s="2" t="str">
        <f t="shared" si="10"/>
        <v>N/A</v>
      </c>
    </row>
    <row r="652" spans="1:17" x14ac:dyDescent="0.35">
      <c r="A652" s="2" t="s">
        <v>1900</v>
      </c>
      <c r="B652" s="2" t="s">
        <v>1300</v>
      </c>
      <c r="C652" s="2" t="s">
        <v>11</v>
      </c>
      <c r="D652" s="2" t="s">
        <v>66</v>
      </c>
      <c r="E652" s="2" t="s">
        <v>31</v>
      </c>
      <c r="F652" s="2">
        <v>42</v>
      </c>
      <c r="G652" s="2" t="s">
        <v>32</v>
      </c>
      <c r="H652" s="3" t="s">
        <v>1901</v>
      </c>
      <c r="I652" s="2"/>
      <c r="J652" s="2" t="s">
        <v>8</v>
      </c>
      <c r="K652" s="2">
        <v>82280</v>
      </c>
      <c r="L652" s="2">
        <v>1</v>
      </c>
      <c r="M652" s="2">
        <v>4</v>
      </c>
      <c r="N652" s="2" t="s">
        <v>8</v>
      </c>
      <c r="O652" s="2">
        <v>22</v>
      </c>
      <c r="P652" s="2">
        <f ca="1">ROUND((IF(I652="",TODAY(),I652)-H652)/365,1)</f>
        <v>7.1</v>
      </c>
      <c r="Q652" s="2" t="str">
        <f t="shared" si="10"/>
        <v>Low</v>
      </c>
    </row>
    <row r="653" spans="1:17" x14ac:dyDescent="0.35">
      <c r="A653" s="2" t="s">
        <v>1902</v>
      </c>
      <c r="B653" s="2" t="s">
        <v>1903</v>
      </c>
      <c r="C653" s="2" t="s">
        <v>11</v>
      </c>
      <c r="D653" s="2" t="s">
        <v>66</v>
      </c>
      <c r="E653" s="2" t="s">
        <v>46</v>
      </c>
      <c r="F653" s="2">
        <v>29</v>
      </c>
      <c r="G653" s="2" t="s">
        <v>32</v>
      </c>
      <c r="H653" s="3" t="s">
        <v>1904</v>
      </c>
      <c r="I653" s="3" t="s">
        <v>1262</v>
      </c>
      <c r="J653" s="2" t="s">
        <v>6</v>
      </c>
      <c r="K653" s="2">
        <v>58496</v>
      </c>
      <c r="L653" s="2">
        <v>2</v>
      </c>
      <c r="M653" s="2">
        <v>3</v>
      </c>
      <c r="N653" s="2" t="s">
        <v>8</v>
      </c>
      <c r="O653" s="2">
        <v>12</v>
      </c>
      <c r="P653" s="2">
        <f ca="1">ROUND((IF(I653="",TODAY(),I653)-H653)/365,1)</f>
        <v>4.7</v>
      </c>
      <c r="Q653" s="2" t="str">
        <f t="shared" si="10"/>
        <v>N/A</v>
      </c>
    </row>
    <row r="654" spans="1:17" x14ac:dyDescent="0.35">
      <c r="A654" s="2" t="s">
        <v>1905</v>
      </c>
      <c r="B654" s="2" t="s">
        <v>1906</v>
      </c>
      <c r="C654" s="2" t="s">
        <v>12</v>
      </c>
      <c r="D654" s="2" t="s">
        <v>30</v>
      </c>
      <c r="E654" s="2" t="s">
        <v>31</v>
      </c>
      <c r="F654" s="2">
        <v>33</v>
      </c>
      <c r="G654" s="2" t="s">
        <v>32</v>
      </c>
      <c r="H654" s="3" t="s">
        <v>1907</v>
      </c>
      <c r="I654" s="2"/>
      <c r="J654" s="2" t="s">
        <v>8</v>
      </c>
      <c r="K654" s="2">
        <v>66948</v>
      </c>
      <c r="L654" s="2">
        <v>4</v>
      </c>
      <c r="M654" s="2">
        <v>3</v>
      </c>
      <c r="N654" s="2" t="s">
        <v>8</v>
      </c>
      <c r="O654" s="2">
        <v>7</v>
      </c>
      <c r="P654" s="2">
        <f ca="1">ROUND((IF(I654="",TODAY(),I654)-H654)/365,1)</f>
        <v>11.3</v>
      </c>
      <c r="Q654" s="2" t="str">
        <f t="shared" si="10"/>
        <v>Low</v>
      </c>
    </row>
    <row r="655" spans="1:17" x14ac:dyDescent="0.35">
      <c r="A655" s="2" t="s">
        <v>1908</v>
      </c>
      <c r="B655" s="2" t="s">
        <v>864</v>
      </c>
      <c r="C655" s="2" t="s">
        <v>9</v>
      </c>
      <c r="D655" s="2" t="s">
        <v>41</v>
      </c>
      <c r="E655" s="2" t="s">
        <v>46</v>
      </c>
      <c r="F655" s="2">
        <v>34</v>
      </c>
      <c r="G655" s="2" t="s">
        <v>56</v>
      </c>
      <c r="H655" s="3" t="s">
        <v>1909</v>
      </c>
      <c r="I655" s="2"/>
      <c r="J655" s="2" t="s">
        <v>8</v>
      </c>
      <c r="K655" s="2">
        <v>91666</v>
      </c>
      <c r="L655" s="2">
        <v>2</v>
      </c>
      <c r="M655" s="2">
        <v>5</v>
      </c>
      <c r="N655" s="2" t="s">
        <v>8</v>
      </c>
      <c r="O655" s="2">
        <v>32</v>
      </c>
      <c r="P655" s="2">
        <f ca="1">ROUND((IF(I655="",TODAY(),I655)-H655)/365,1)</f>
        <v>8.9</v>
      </c>
      <c r="Q655" s="2" t="str">
        <f t="shared" si="10"/>
        <v>Low</v>
      </c>
    </row>
    <row r="656" spans="1:17" x14ac:dyDescent="0.35">
      <c r="A656" s="2" t="s">
        <v>1910</v>
      </c>
      <c r="B656" s="2" t="s">
        <v>1911</v>
      </c>
      <c r="C656" s="2" t="s">
        <v>5</v>
      </c>
      <c r="D656" s="2" t="s">
        <v>207</v>
      </c>
      <c r="E656" s="2" t="s">
        <v>31</v>
      </c>
      <c r="F656" s="2">
        <v>57</v>
      </c>
      <c r="G656" s="2" t="s">
        <v>32</v>
      </c>
      <c r="H656" s="3" t="s">
        <v>1912</v>
      </c>
      <c r="I656" s="3" t="s">
        <v>1913</v>
      </c>
      <c r="J656" s="2" t="s">
        <v>6</v>
      </c>
      <c r="K656" s="2">
        <v>55636</v>
      </c>
      <c r="L656" s="2">
        <v>4</v>
      </c>
      <c r="M656" s="2">
        <v>1</v>
      </c>
      <c r="N656" s="2" t="s">
        <v>6</v>
      </c>
      <c r="O656" s="2">
        <v>41</v>
      </c>
      <c r="P656" s="2">
        <f ca="1">ROUND((IF(I656="",TODAY(),I656)-H656)/365,1)</f>
        <v>6.7</v>
      </c>
      <c r="Q656" s="2" t="str">
        <f t="shared" si="10"/>
        <v>N/A</v>
      </c>
    </row>
    <row r="657" spans="1:17" x14ac:dyDescent="0.35">
      <c r="A657" s="2" t="s">
        <v>1914</v>
      </c>
      <c r="B657" s="2" t="s">
        <v>1915</v>
      </c>
      <c r="C657" s="2" t="s">
        <v>12</v>
      </c>
      <c r="D657" s="2" t="s">
        <v>30</v>
      </c>
      <c r="E657" s="2" t="s">
        <v>31</v>
      </c>
      <c r="F657" s="2">
        <v>41</v>
      </c>
      <c r="G657" s="2" t="s">
        <v>32</v>
      </c>
      <c r="H657" s="3" t="s">
        <v>1916</v>
      </c>
      <c r="I657" s="2"/>
      <c r="J657" s="2" t="s">
        <v>8</v>
      </c>
      <c r="K657" s="2">
        <v>127613</v>
      </c>
      <c r="L657" s="2">
        <v>5</v>
      </c>
      <c r="M657" s="2">
        <v>1</v>
      </c>
      <c r="N657" s="2" t="s">
        <v>8</v>
      </c>
      <c r="O657" s="2">
        <v>14</v>
      </c>
      <c r="P657" s="2">
        <f ca="1">ROUND((IF(I657="",TODAY(),I657)-H657)/365,1)</f>
        <v>5.2</v>
      </c>
      <c r="Q657" s="2" t="str">
        <f t="shared" si="10"/>
        <v>Medium</v>
      </c>
    </row>
    <row r="658" spans="1:17" x14ac:dyDescent="0.35">
      <c r="A658" s="2" t="s">
        <v>1917</v>
      </c>
      <c r="B658" s="2" t="s">
        <v>1918</v>
      </c>
      <c r="C658" s="2" t="s">
        <v>7</v>
      </c>
      <c r="D658" s="2" t="s">
        <v>155</v>
      </c>
      <c r="E658" s="2" t="s">
        <v>46</v>
      </c>
      <c r="F658" s="2">
        <v>24</v>
      </c>
      <c r="G658" s="2" t="s">
        <v>32</v>
      </c>
      <c r="H658" s="3" t="s">
        <v>1919</v>
      </c>
      <c r="I658" s="3" t="s">
        <v>1920</v>
      </c>
      <c r="J658" s="2" t="s">
        <v>6</v>
      </c>
      <c r="K658" s="2">
        <v>46939</v>
      </c>
      <c r="L658" s="2">
        <v>3</v>
      </c>
      <c r="M658" s="2">
        <v>5</v>
      </c>
      <c r="N658" s="2" t="s">
        <v>8</v>
      </c>
      <c r="O658" s="2">
        <v>42</v>
      </c>
      <c r="P658" s="2">
        <f ca="1">ROUND((IF(I658="",TODAY(),I658)-H658)/365,1)</f>
        <v>11</v>
      </c>
      <c r="Q658" s="2" t="str">
        <f t="shared" si="10"/>
        <v>N/A</v>
      </c>
    </row>
    <row r="659" spans="1:17" x14ac:dyDescent="0.35">
      <c r="A659" s="2" t="s">
        <v>1921</v>
      </c>
      <c r="B659" s="2" t="s">
        <v>1152</v>
      </c>
      <c r="C659" s="2" t="s">
        <v>9</v>
      </c>
      <c r="D659" s="2" t="s">
        <v>77</v>
      </c>
      <c r="E659" s="2" t="s">
        <v>46</v>
      </c>
      <c r="F659" s="2">
        <v>35</v>
      </c>
      <c r="G659" s="2" t="s">
        <v>56</v>
      </c>
      <c r="H659" s="3" t="s">
        <v>1922</v>
      </c>
      <c r="I659" s="2"/>
      <c r="J659" s="2" t="s">
        <v>8</v>
      </c>
      <c r="K659" s="2">
        <v>121886</v>
      </c>
      <c r="L659" s="2">
        <v>1</v>
      </c>
      <c r="M659" s="2">
        <v>3</v>
      </c>
      <c r="N659" s="2" t="s">
        <v>8</v>
      </c>
      <c r="O659" s="2">
        <v>11</v>
      </c>
      <c r="P659" s="2">
        <f ca="1">ROUND((IF(I659="",TODAY(),I659)-H659)/365,1)</f>
        <v>5</v>
      </c>
      <c r="Q659" s="2" t="str">
        <f t="shared" si="10"/>
        <v>Low</v>
      </c>
    </row>
    <row r="660" spans="1:17" x14ac:dyDescent="0.35">
      <c r="A660" s="2" t="s">
        <v>1923</v>
      </c>
      <c r="B660" s="2" t="s">
        <v>343</v>
      </c>
      <c r="C660" s="2" t="s">
        <v>9</v>
      </c>
      <c r="D660" s="2" t="s">
        <v>51</v>
      </c>
      <c r="E660" s="2" t="s">
        <v>46</v>
      </c>
      <c r="F660" s="2">
        <v>57</v>
      </c>
      <c r="G660" s="2" t="s">
        <v>78</v>
      </c>
      <c r="H660" s="3" t="s">
        <v>1924</v>
      </c>
      <c r="I660" s="2"/>
      <c r="J660" s="2" t="s">
        <v>8</v>
      </c>
      <c r="K660" s="2">
        <v>130127</v>
      </c>
      <c r="L660" s="2">
        <v>5</v>
      </c>
      <c r="M660" s="2">
        <v>2</v>
      </c>
      <c r="N660" s="2" t="s">
        <v>8</v>
      </c>
      <c r="O660" s="2">
        <v>33</v>
      </c>
      <c r="P660" s="2">
        <f ca="1">ROUND((IF(I660="",TODAY(),I660)-H660)/365,1)</f>
        <v>8.5</v>
      </c>
      <c r="Q660" s="2" t="str">
        <f t="shared" si="10"/>
        <v>Medium</v>
      </c>
    </row>
    <row r="661" spans="1:17" x14ac:dyDescent="0.35">
      <c r="A661" s="2" t="s">
        <v>1925</v>
      </c>
      <c r="B661" s="2" t="s">
        <v>1353</v>
      </c>
      <c r="C661" s="2" t="s">
        <v>9</v>
      </c>
      <c r="D661" s="2" t="s">
        <v>77</v>
      </c>
      <c r="E661" s="2" t="s">
        <v>46</v>
      </c>
      <c r="F661" s="2">
        <v>37</v>
      </c>
      <c r="G661" s="2" t="s">
        <v>78</v>
      </c>
      <c r="H661" s="3" t="s">
        <v>1926</v>
      </c>
      <c r="I661" s="3" t="s">
        <v>1927</v>
      </c>
      <c r="J661" s="2" t="s">
        <v>6</v>
      </c>
      <c r="K661" s="2">
        <v>103579</v>
      </c>
      <c r="L661" s="2">
        <v>2</v>
      </c>
      <c r="M661" s="2">
        <v>3</v>
      </c>
      <c r="N661" s="2" t="s">
        <v>8</v>
      </c>
      <c r="O661" s="2">
        <v>30</v>
      </c>
      <c r="P661" s="2">
        <f ca="1">ROUND((IF(I661="",TODAY(),I661)-H661)/365,1)</f>
        <v>4</v>
      </c>
      <c r="Q661" s="2" t="str">
        <f t="shared" si="10"/>
        <v>N/A</v>
      </c>
    </row>
    <row r="662" spans="1:17" x14ac:dyDescent="0.35">
      <c r="A662" s="2" t="s">
        <v>1928</v>
      </c>
      <c r="B662" s="2" t="s">
        <v>1929</v>
      </c>
      <c r="C662" s="2" t="s">
        <v>7</v>
      </c>
      <c r="D662" s="2" t="s">
        <v>37</v>
      </c>
      <c r="E662" s="2" t="s">
        <v>31</v>
      </c>
      <c r="F662" s="2">
        <v>22</v>
      </c>
      <c r="G662" s="2" t="s">
        <v>56</v>
      </c>
      <c r="H662" s="3" t="s">
        <v>1707</v>
      </c>
      <c r="I662" s="2"/>
      <c r="J662" s="2" t="s">
        <v>8</v>
      </c>
      <c r="K662" s="2">
        <v>142344</v>
      </c>
      <c r="L662" s="2">
        <v>4</v>
      </c>
      <c r="M662" s="2">
        <v>2</v>
      </c>
      <c r="N662" s="2" t="s">
        <v>6</v>
      </c>
      <c r="O662" s="2">
        <v>36</v>
      </c>
      <c r="P662" s="2">
        <f ca="1">ROUND((IF(I662="",TODAY(),I662)-H662)/365,1)</f>
        <v>1.5</v>
      </c>
      <c r="Q662" s="2" t="str">
        <f t="shared" si="10"/>
        <v>High</v>
      </c>
    </row>
    <row r="663" spans="1:17" x14ac:dyDescent="0.35">
      <c r="A663" s="2" t="s">
        <v>1930</v>
      </c>
      <c r="B663" s="2" t="s">
        <v>1795</v>
      </c>
      <c r="C663" s="2" t="s">
        <v>10</v>
      </c>
      <c r="D663" s="2" t="s">
        <v>70</v>
      </c>
      <c r="E663" s="2" t="s">
        <v>31</v>
      </c>
      <c r="F663" s="2">
        <v>23</v>
      </c>
      <c r="G663" s="2" t="s">
        <v>78</v>
      </c>
      <c r="H663" s="3" t="s">
        <v>1931</v>
      </c>
      <c r="I663" s="2"/>
      <c r="J663" s="2" t="s">
        <v>8</v>
      </c>
      <c r="K663" s="2">
        <v>131532</v>
      </c>
      <c r="L663" s="2">
        <v>1</v>
      </c>
      <c r="M663" s="2">
        <v>4</v>
      </c>
      <c r="N663" s="2" t="s">
        <v>8</v>
      </c>
      <c r="O663" s="2">
        <v>23</v>
      </c>
      <c r="P663" s="2">
        <f ca="1">ROUND((IF(I663="",TODAY(),I663)-H663)/365,1)</f>
        <v>1.6</v>
      </c>
      <c r="Q663" s="2" t="str">
        <f t="shared" si="10"/>
        <v>Low</v>
      </c>
    </row>
    <row r="664" spans="1:17" x14ac:dyDescent="0.35">
      <c r="A664" s="2" t="s">
        <v>1932</v>
      </c>
      <c r="B664" s="2" t="s">
        <v>1631</v>
      </c>
      <c r="C664" s="2" t="s">
        <v>9</v>
      </c>
      <c r="D664" s="2" t="s">
        <v>41</v>
      </c>
      <c r="E664" s="2" t="s">
        <v>31</v>
      </c>
      <c r="F664" s="2">
        <v>51</v>
      </c>
      <c r="G664" s="2" t="s">
        <v>32</v>
      </c>
      <c r="H664" s="3" t="s">
        <v>1933</v>
      </c>
      <c r="I664" s="2"/>
      <c r="J664" s="2" t="s">
        <v>8</v>
      </c>
      <c r="K664" s="2">
        <v>122405</v>
      </c>
      <c r="L664" s="2">
        <v>1</v>
      </c>
      <c r="M664" s="2">
        <v>4</v>
      </c>
      <c r="N664" s="2" t="s">
        <v>8</v>
      </c>
      <c r="O664" s="2">
        <v>15</v>
      </c>
      <c r="P664" s="2">
        <f ca="1">ROUND((IF(I664="",TODAY(),I664)-H664)/365,1)</f>
        <v>7.5</v>
      </c>
      <c r="Q664" s="2" t="str">
        <f t="shared" si="10"/>
        <v>Low</v>
      </c>
    </row>
    <row r="665" spans="1:17" x14ac:dyDescent="0.35">
      <c r="A665" s="2" t="s">
        <v>1934</v>
      </c>
      <c r="B665" s="2" t="s">
        <v>798</v>
      </c>
      <c r="C665" s="2" t="s">
        <v>12</v>
      </c>
      <c r="D665" s="2" t="s">
        <v>55</v>
      </c>
      <c r="E665" s="2" t="s">
        <v>46</v>
      </c>
      <c r="F665" s="2">
        <v>41</v>
      </c>
      <c r="G665" s="2" t="s">
        <v>78</v>
      </c>
      <c r="H665" s="3" t="s">
        <v>1935</v>
      </c>
      <c r="I665" s="2"/>
      <c r="J665" s="2" t="s">
        <v>8</v>
      </c>
      <c r="K665" s="2">
        <v>29822</v>
      </c>
      <c r="L665" s="2">
        <v>4</v>
      </c>
      <c r="M665" s="2">
        <v>2</v>
      </c>
      <c r="N665" s="2" t="s">
        <v>8</v>
      </c>
      <c r="O665" s="2">
        <v>24</v>
      </c>
      <c r="P665" s="2">
        <f ca="1">ROUND((IF(I665="",TODAY(),I665)-H665)/365,1)</f>
        <v>2.5</v>
      </c>
      <c r="Q665" s="2" t="str">
        <f t="shared" si="10"/>
        <v>Medium</v>
      </c>
    </row>
    <row r="666" spans="1:17" x14ac:dyDescent="0.35">
      <c r="A666" s="2" t="s">
        <v>1936</v>
      </c>
      <c r="B666" s="2" t="s">
        <v>401</v>
      </c>
      <c r="C666" s="2" t="s">
        <v>12</v>
      </c>
      <c r="D666" s="2" t="s">
        <v>55</v>
      </c>
      <c r="E666" s="2" t="s">
        <v>31</v>
      </c>
      <c r="F666" s="2">
        <v>47</v>
      </c>
      <c r="G666" s="2" t="s">
        <v>56</v>
      </c>
      <c r="H666" s="3" t="s">
        <v>1937</v>
      </c>
      <c r="I666" s="2"/>
      <c r="J666" s="2" t="s">
        <v>8</v>
      </c>
      <c r="K666" s="2">
        <v>47344</v>
      </c>
      <c r="L666" s="2">
        <v>5</v>
      </c>
      <c r="M666" s="2">
        <v>5</v>
      </c>
      <c r="N666" s="2" t="s">
        <v>8</v>
      </c>
      <c r="O666" s="2">
        <v>32</v>
      </c>
      <c r="P666" s="2">
        <f ca="1">ROUND((IF(I666="",TODAY(),I666)-H666)/365,1)</f>
        <v>10.4</v>
      </c>
      <c r="Q666" s="2" t="str">
        <f t="shared" si="10"/>
        <v>Low</v>
      </c>
    </row>
    <row r="667" spans="1:17" x14ac:dyDescent="0.35">
      <c r="A667" s="2" t="s">
        <v>1938</v>
      </c>
      <c r="B667" s="2" t="s">
        <v>1939</v>
      </c>
      <c r="C667" s="2" t="s">
        <v>12</v>
      </c>
      <c r="D667" s="2" t="s">
        <v>55</v>
      </c>
      <c r="E667" s="2" t="s">
        <v>31</v>
      </c>
      <c r="F667" s="2">
        <v>30</v>
      </c>
      <c r="G667" s="2" t="s">
        <v>56</v>
      </c>
      <c r="H667" s="3" t="s">
        <v>1940</v>
      </c>
      <c r="I667" s="2"/>
      <c r="J667" s="2" t="s">
        <v>8</v>
      </c>
      <c r="K667" s="2">
        <v>140474</v>
      </c>
      <c r="L667" s="2">
        <v>5</v>
      </c>
      <c r="M667" s="2">
        <v>3</v>
      </c>
      <c r="N667" s="2" t="s">
        <v>6</v>
      </c>
      <c r="O667" s="2">
        <v>15</v>
      </c>
      <c r="P667" s="2">
        <f ca="1">ROUND((IF(I667="",TODAY(),I667)-H667)/365,1)</f>
        <v>3.2</v>
      </c>
      <c r="Q667" s="2" t="str">
        <f t="shared" si="10"/>
        <v>Medium</v>
      </c>
    </row>
    <row r="668" spans="1:17" x14ac:dyDescent="0.35">
      <c r="A668" s="2" t="s">
        <v>1941</v>
      </c>
      <c r="B668" s="2" t="s">
        <v>1300</v>
      </c>
      <c r="C668" s="2" t="s">
        <v>9</v>
      </c>
      <c r="D668" s="2" t="s">
        <v>51</v>
      </c>
      <c r="E668" s="2" t="s">
        <v>31</v>
      </c>
      <c r="F668" s="2">
        <v>38</v>
      </c>
      <c r="G668" s="2" t="s">
        <v>56</v>
      </c>
      <c r="H668" s="3" t="s">
        <v>967</v>
      </c>
      <c r="I668" s="2"/>
      <c r="J668" s="2" t="s">
        <v>8</v>
      </c>
      <c r="K668" s="2">
        <v>109012</v>
      </c>
      <c r="L668" s="2">
        <v>1</v>
      </c>
      <c r="M668" s="2">
        <v>4</v>
      </c>
      <c r="N668" s="2" t="s">
        <v>8</v>
      </c>
      <c r="O668" s="2">
        <v>28</v>
      </c>
      <c r="P668" s="2">
        <f ca="1">ROUND((IF(I668="",TODAY(),I668)-H668)/365,1)</f>
        <v>4</v>
      </c>
      <c r="Q668" s="2" t="str">
        <f t="shared" si="10"/>
        <v>Low</v>
      </c>
    </row>
    <row r="669" spans="1:17" x14ac:dyDescent="0.35">
      <c r="A669" s="2" t="s">
        <v>1942</v>
      </c>
      <c r="B669" s="2" t="s">
        <v>1943</v>
      </c>
      <c r="C669" s="2" t="s">
        <v>5</v>
      </c>
      <c r="D669" s="2" t="s">
        <v>207</v>
      </c>
      <c r="E669" s="2" t="s">
        <v>46</v>
      </c>
      <c r="F669" s="2">
        <v>29</v>
      </c>
      <c r="G669" s="2" t="s">
        <v>32</v>
      </c>
      <c r="H669" s="3" t="s">
        <v>791</v>
      </c>
      <c r="I669" s="2"/>
      <c r="J669" s="2" t="s">
        <v>8</v>
      </c>
      <c r="K669" s="2">
        <v>124486</v>
      </c>
      <c r="L669" s="2">
        <v>3</v>
      </c>
      <c r="M669" s="2">
        <v>4</v>
      </c>
      <c r="N669" s="2" t="s">
        <v>8</v>
      </c>
      <c r="O669" s="2">
        <v>34</v>
      </c>
      <c r="P669" s="2">
        <f ca="1">ROUND((IF(I669="",TODAY(),I669)-H669)/365,1)</f>
        <v>4</v>
      </c>
      <c r="Q669" s="2" t="str">
        <f t="shared" si="10"/>
        <v>Low</v>
      </c>
    </row>
    <row r="670" spans="1:17" x14ac:dyDescent="0.35">
      <c r="A670" s="2" t="s">
        <v>1944</v>
      </c>
      <c r="B670" s="2" t="s">
        <v>1945</v>
      </c>
      <c r="C670" s="2" t="s">
        <v>7</v>
      </c>
      <c r="D670" s="2" t="s">
        <v>155</v>
      </c>
      <c r="E670" s="2" t="s">
        <v>46</v>
      </c>
      <c r="F670" s="2">
        <v>50</v>
      </c>
      <c r="G670" s="2" t="s">
        <v>56</v>
      </c>
      <c r="H670" s="3" t="s">
        <v>126</v>
      </c>
      <c r="I670" s="2"/>
      <c r="J670" s="2" t="s">
        <v>8</v>
      </c>
      <c r="K670" s="2">
        <v>140356</v>
      </c>
      <c r="L670" s="2">
        <v>3</v>
      </c>
      <c r="M670" s="2">
        <v>2</v>
      </c>
      <c r="N670" s="2" t="s">
        <v>6</v>
      </c>
      <c r="O670" s="2">
        <v>6</v>
      </c>
      <c r="P670" s="2">
        <f ca="1">ROUND((IF(I670="",TODAY(),I670)-H670)/365,1)</f>
        <v>8.1</v>
      </c>
      <c r="Q670" s="2" t="str">
        <f t="shared" si="10"/>
        <v>High</v>
      </c>
    </row>
    <row r="671" spans="1:17" x14ac:dyDescent="0.35">
      <c r="A671" s="2" t="s">
        <v>1946</v>
      </c>
      <c r="B671" s="2" t="s">
        <v>1736</v>
      </c>
      <c r="C671" s="2" t="s">
        <v>12</v>
      </c>
      <c r="D671" s="2" t="s">
        <v>30</v>
      </c>
      <c r="E671" s="2" t="s">
        <v>46</v>
      </c>
      <c r="F671" s="2">
        <v>34</v>
      </c>
      <c r="G671" s="2" t="s">
        <v>78</v>
      </c>
      <c r="H671" s="3" t="s">
        <v>1947</v>
      </c>
      <c r="I671" s="2"/>
      <c r="J671" s="2" t="s">
        <v>8</v>
      </c>
      <c r="K671" s="2">
        <v>87910</v>
      </c>
      <c r="L671" s="2">
        <v>1</v>
      </c>
      <c r="M671" s="2">
        <v>1</v>
      </c>
      <c r="N671" s="2" t="s">
        <v>6</v>
      </c>
      <c r="O671" s="2">
        <v>2</v>
      </c>
      <c r="P671" s="2">
        <f ca="1">ROUND((IF(I671="",TODAY(),I671)-H671)/365,1)</f>
        <v>9.8000000000000007</v>
      </c>
      <c r="Q671" s="2" t="str">
        <f t="shared" si="10"/>
        <v>High</v>
      </c>
    </row>
    <row r="672" spans="1:17" x14ac:dyDescent="0.35">
      <c r="A672" s="2" t="s">
        <v>1948</v>
      </c>
      <c r="B672" s="2" t="s">
        <v>1949</v>
      </c>
      <c r="C672" s="2" t="s">
        <v>11</v>
      </c>
      <c r="D672" s="2" t="s">
        <v>98</v>
      </c>
      <c r="E672" s="2" t="s">
        <v>46</v>
      </c>
      <c r="F672" s="2">
        <v>28</v>
      </c>
      <c r="G672" s="2" t="s">
        <v>32</v>
      </c>
      <c r="H672" s="3" t="s">
        <v>1950</v>
      </c>
      <c r="I672" s="2"/>
      <c r="J672" s="2" t="s">
        <v>8</v>
      </c>
      <c r="K672" s="2">
        <v>93114</v>
      </c>
      <c r="L672" s="2">
        <v>1</v>
      </c>
      <c r="M672" s="2">
        <v>3</v>
      </c>
      <c r="N672" s="2" t="s">
        <v>6</v>
      </c>
      <c r="O672" s="2">
        <v>22</v>
      </c>
      <c r="P672" s="2">
        <f ca="1">ROUND((IF(I672="",TODAY(),I672)-H672)/365,1)</f>
        <v>6.3</v>
      </c>
      <c r="Q672" s="2" t="str">
        <f t="shared" si="10"/>
        <v>Medium</v>
      </c>
    </row>
    <row r="673" spans="1:17" x14ac:dyDescent="0.35">
      <c r="A673" s="2" t="s">
        <v>1951</v>
      </c>
      <c r="B673" s="2" t="s">
        <v>1952</v>
      </c>
      <c r="C673" s="2" t="s">
        <v>11</v>
      </c>
      <c r="D673" s="2" t="s">
        <v>98</v>
      </c>
      <c r="E673" s="2" t="s">
        <v>46</v>
      </c>
      <c r="F673" s="2">
        <v>29</v>
      </c>
      <c r="G673" s="2" t="s">
        <v>56</v>
      </c>
      <c r="H673" s="3" t="s">
        <v>1953</v>
      </c>
      <c r="I673" s="3" t="s">
        <v>1666</v>
      </c>
      <c r="J673" s="2" t="s">
        <v>6</v>
      </c>
      <c r="K673" s="2">
        <v>141665</v>
      </c>
      <c r="L673" s="2">
        <v>4</v>
      </c>
      <c r="M673" s="2">
        <v>1</v>
      </c>
      <c r="N673" s="2" t="s">
        <v>8</v>
      </c>
      <c r="O673" s="2">
        <v>21</v>
      </c>
      <c r="P673" s="2">
        <f ca="1">ROUND((IF(I673="",TODAY(),I673)-H673)/365,1)</f>
        <v>1.6</v>
      </c>
      <c r="Q673" s="2" t="str">
        <f t="shared" si="10"/>
        <v>N/A</v>
      </c>
    </row>
    <row r="674" spans="1:17" x14ac:dyDescent="0.35">
      <c r="A674" s="2" t="s">
        <v>1954</v>
      </c>
      <c r="B674" s="2" t="s">
        <v>1305</v>
      </c>
      <c r="C674" s="2" t="s">
        <v>5</v>
      </c>
      <c r="D674" s="2" t="s">
        <v>207</v>
      </c>
      <c r="E674" s="2" t="s">
        <v>31</v>
      </c>
      <c r="F674" s="2">
        <v>49</v>
      </c>
      <c r="G674" s="2" t="s">
        <v>78</v>
      </c>
      <c r="H674" s="3" t="s">
        <v>1955</v>
      </c>
      <c r="I674" s="3" t="s">
        <v>852</v>
      </c>
      <c r="J674" s="2" t="s">
        <v>6</v>
      </c>
      <c r="K674" s="2">
        <v>63655</v>
      </c>
      <c r="L674" s="2">
        <v>5</v>
      </c>
      <c r="M674" s="2">
        <v>1</v>
      </c>
      <c r="N674" s="2" t="s">
        <v>6</v>
      </c>
      <c r="O674" s="2">
        <v>4</v>
      </c>
      <c r="P674" s="2">
        <f ca="1">ROUND((IF(I674="",TODAY(),I674)-H674)/365,1)</f>
        <v>7.1</v>
      </c>
      <c r="Q674" s="2" t="str">
        <f t="shared" si="10"/>
        <v>N/A</v>
      </c>
    </row>
    <row r="675" spans="1:17" x14ac:dyDescent="0.35">
      <c r="A675" s="2" t="s">
        <v>1956</v>
      </c>
      <c r="B675" s="2" t="s">
        <v>1957</v>
      </c>
      <c r="C675" s="2" t="s">
        <v>10</v>
      </c>
      <c r="D675" s="2" t="s">
        <v>111</v>
      </c>
      <c r="E675" s="2" t="s">
        <v>31</v>
      </c>
      <c r="F675" s="2">
        <v>51</v>
      </c>
      <c r="G675" s="2" t="s">
        <v>56</v>
      </c>
      <c r="H675" s="3" t="s">
        <v>1958</v>
      </c>
      <c r="I675" s="2"/>
      <c r="J675" s="2" t="s">
        <v>8</v>
      </c>
      <c r="K675" s="2">
        <v>69514</v>
      </c>
      <c r="L675" s="2">
        <v>5</v>
      </c>
      <c r="M675" s="2">
        <v>5</v>
      </c>
      <c r="N675" s="2" t="s">
        <v>8</v>
      </c>
      <c r="O675" s="2">
        <v>7</v>
      </c>
      <c r="P675" s="2">
        <f ca="1">ROUND((IF(I675="",TODAY(),I675)-H675)/365,1)</f>
        <v>2.7</v>
      </c>
      <c r="Q675" s="2" t="str">
        <f t="shared" si="10"/>
        <v>Low</v>
      </c>
    </row>
    <row r="676" spans="1:17" x14ac:dyDescent="0.35">
      <c r="A676" s="2" t="s">
        <v>1959</v>
      </c>
      <c r="B676" s="2" t="s">
        <v>1960</v>
      </c>
      <c r="C676" s="2" t="s">
        <v>5</v>
      </c>
      <c r="D676" s="2" t="s">
        <v>207</v>
      </c>
      <c r="E676" s="2" t="s">
        <v>46</v>
      </c>
      <c r="F676" s="2">
        <v>28</v>
      </c>
      <c r="G676" s="2" t="s">
        <v>56</v>
      </c>
      <c r="H676" s="3" t="s">
        <v>494</v>
      </c>
      <c r="I676" s="3" t="s">
        <v>1961</v>
      </c>
      <c r="J676" s="2" t="s">
        <v>6</v>
      </c>
      <c r="K676" s="2">
        <v>143537</v>
      </c>
      <c r="L676" s="2">
        <v>5</v>
      </c>
      <c r="M676" s="2">
        <v>1</v>
      </c>
      <c r="N676" s="2" t="s">
        <v>6</v>
      </c>
      <c r="O676" s="2">
        <v>13</v>
      </c>
      <c r="P676" s="2">
        <f ca="1">ROUND((IF(I676="",TODAY(),I676)-H676)/365,1)</f>
        <v>5.9</v>
      </c>
      <c r="Q676" s="2" t="str">
        <f t="shared" si="10"/>
        <v>N/A</v>
      </c>
    </row>
    <row r="677" spans="1:17" x14ac:dyDescent="0.35">
      <c r="A677" s="2" t="s">
        <v>1962</v>
      </c>
      <c r="B677" s="2" t="s">
        <v>548</v>
      </c>
      <c r="C677" s="2" t="s">
        <v>9</v>
      </c>
      <c r="D677" s="2" t="s">
        <v>41</v>
      </c>
      <c r="E677" s="2" t="s">
        <v>46</v>
      </c>
      <c r="F677" s="2">
        <v>50</v>
      </c>
      <c r="G677" s="2" t="s">
        <v>56</v>
      </c>
      <c r="H677" s="3" t="s">
        <v>1963</v>
      </c>
      <c r="I677" s="3" t="s">
        <v>1964</v>
      </c>
      <c r="J677" s="2" t="s">
        <v>6</v>
      </c>
      <c r="K677" s="2">
        <v>65850</v>
      </c>
      <c r="L677" s="2">
        <v>1</v>
      </c>
      <c r="M677" s="2">
        <v>1</v>
      </c>
      <c r="N677" s="2" t="s">
        <v>6</v>
      </c>
      <c r="O677" s="2">
        <v>9</v>
      </c>
      <c r="P677" s="2">
        <f ca="1">ROUND((IF(I677="",TODAY(),I677)-H677)/365,1)</f>
        <v>7.5</v>
      </c>
      <c r="Q677" s="2" t="str">
        <f t="shared" si="10"/>
        <v>N/A</v>
      </c>
    </row>
    <row r="678" spans="1:17" x14ac:dyDescent="0.35">
      <c r="A678" s="2" t="s">
        <v>1965</v>
      </c>
      <c r="B678" s="2" t="s">
        <v>1323</v>
      </c>
      <c r="C678" s="2" t="s">
        <v>9</v>
      </c>
      <c r="D678" s="2" t="s">
        <v>41</v>
      </c>
      <c r="E678" s="2" t="s">
        <v>31</v>
      </c>
      <c r="F678" s="2">
        <v>41</v>
      </c>
      <c r="G678" s="2" t="s">
        <v>56</v>
      </c>
      <c r="H678" s="3" t="s">
        <v>1966</v>
      </c>
      <c r="I678" s="2"/>
      <c r="J678" s="2" t="s">
        <v>8</v>
      </c>
      <c r="K678" s="2">
        <v>101865</v>
      </c>
      <c r="L678" s="2">
        <v>1</v>
      </c>
      <c r="M678" s="2">
        <v>3</v>
      </c>
      <c r="N678" s="2" t="s">
        <v>6</v>
      </c>
      <c r="O678" s="2">
        <v>34</v>
      </c>
      <c r="P678" s="2">
        <f ca="1">ROUND((IF(I678="",TODAY(),I678)-H678)/365,1)</f>
        <v>4.8</v>
      </c>
      <c r="Q678" s="2" t="str">
        <f t="shared" si="10"/>
        <v>Medium</v>
      </c>
    </row>
    <row r="679" spans="1:17" x14ac:dyDescent="0.35">
      <c r="A679" s="2" t="s">
        <v>1967</v>
      </c>
      <c r="B679" s="2" t="s">
        <v>1207</v>
      </c>
      <c r="C679" s="2" t="s">
        <v>5</v>
      </c>
      <c r="D679" s="2" t="s">
        <v>94</v>
      </c>
      <c r="E679" s="2" t="s">
        <v>31</v>
      </c>
      <c r="F679" s="2">
        <v>34</v>
      </c>
      <c r="G679" s="2" t="s">
        <v>56</v>
      </c>
      <c r="H679" s="3" t="s">
        <v>1968</v>
      </c>
      <c r="I679" s="2"/>
      <c r="J679" s="2" t="s">
        <v>8</v>
      </c>
      <c r="K679" s="2">
        <v>49819</v>
      </c>
      <c r="L679" s="2">
        <v>1</v>
      </c>
      <c r="M679" s="2">
        <v>2</v>
      </c>
      <c r="N679" s="2" t="s">
        <v>8</v>
      </c>
      <c r="O679" s="2">
        <v>22</v>
      </c>
      <c r="P679" s="2">
        <f ca="1">ROUND((IF(I679="",TODAY(),I679)-H679)/365,1)</f>
        <v>9.4</v>
      </c>
      <c r="Q679" s="2" t="str">
        <f t="shared" si="10"/>
        <v>Medium</v>
      </c>
    </row>
    <row r="680" spans="1:17" x14ac:dyDescent="0.35">
      <c r="A680" s="2" t="s">
        <v>1969</v>
      </c>
      <c r="B680" s="2" t="s">
        <v>605</v>
      </c>
      <c r="C680" s="2" t="s">
        <v>12</v>
      </c>
      <c r="D680" s="2" t="s">
        <v>133</v>
      </c>
      <c r="E680" s="2" t="s">
        <v>46</v>
      </c>
      <c r="F680" s="2">
        <v>43</v>
      </c>
      <c r="G680" s="2" t="s">
        <v>32</v>
      </c>
      <c r="H680" s="3" t="s">
        <v>1404</v>
      </c>
      <c r="I680" s="2"/>
      <c r="J680" s="2" t="s">
        <v>8</v>
      </c>
      <c r="K680" s="2">
        <v>84546</v>
      </c>
      <c r="L680" s="2">
        <v>2</v>
      </c>
      <c r="M680" s="2">
        <v>3</v>
      </c>
      <c r="N680" s="2" t="s">
        <v>6</v>
      </c>
      <c r="O680" s="2">
        <v>7</v>
      </c>
      <c r="P680" s="2">
        <f ca="1">ROUND((IF(I680="",TODAY(),I680)-H680)/365,1)</f>
        <v>4.7</v>
      </c>
      <c r="Q680" s="2" t="str">
        <f t="shared" si="10"/>
        <v>Medium</v>
      </c>
    </row>
    <row r="681" spans="1:17" x14ac:dyDescent="0.35">
      <c r="A681" s="2" t="s">
        <v>1970</v>
      </c>
      <c r="B681" s="2" t="s">
        <v>1971</v>
      </c>
      <c r="C681" s="2" t="s">
        <v>5</v>
      </c>
      <c r="D681" s="2" t="s">
        <v>102</v>
      </c>
      <c r="E681" s="2" t="s">
        <v>31</v>
      </c>
      <c r="F681" s="2">
        <v>35</v>
      </c>
      <c r="G681" s="2" t="s">
        <v>32</v>
      </c>
      <c r="H681" s="3" t="s">
        <v>1972</v>
      </c>
      <c r="I681" s="2"/>
      <c r="J681" s="2" t="s">
        <v>8</v>
      </c>
      <c r="K681" s="2">
        <v>77469</v>
      </c>
      <c r="L681" s="2">
        <v>4</v>
      </c>
      <c r="M681" s="2">
        <v>3</v>
      </c>
      <c r="N681" s="2" t="s">
        <v>8</v>
      </c>
      <c r="O681" s="2">
        <v>14</v>
      </c>
      <c r="P681" s="2">
        <f ca="1">ROUND((IF(I681="",TODAY(),I681)-H681)/365,1)</f>
        <v>8.9</v>
      </c>
      <c r="Q681" s="2" t="str">
        <f t="shared" si="10"/>
        <v>Low</v>
      </c>
    </row>
    <row r="682" spans="1:17" x14ac:dyDescent="0.35">
      <c r="A682" s="2" t="s">
        <v>1973</v>
      </c>
      <c r="B682" s="2" t="s">
        <v>1974</v>
      </c>
      <c r="C682" s="2" t="s">
        <v>5</v>
      </c>
      <c r="D682" s="2" t="s">
        <v>207</v>
      </c>
      <c r="E682" s="2" t="s">
        <v>31</v>
      </c>
      <c r="F682" s="2">
        <v>23</v>
      </c>
      <c r="G682" s="2" t="s">
        <v>56</v>
      </c>
      <c r="H682" s="3" t="s">
        <v>1975</v>
      </c>
      <c r="I682" s="2"/>
      <c r="J682" s="2" t="s">
        <v>8</v>
      </c>
      <c r="K682" s="2">
        <v>107750</v>
      </c>
      <c r="L682" s="2">
        <v>4</v>
      </c>
      <c r="M682" s="2">
        <v>3</v>
      </c>
      <c r="N682" s="2" t="s">
        <v>6</v>
      </c>
      <c r="O682" s="2">
        <v>13</v>
      </c>
      <c r="P682" s="2">
        <f ca="1">ROUND((IF(I682="",TODAY(),I682)-H682)/365,1)</f>
        <v>5.4</v>
      </c>
      <c r="Q682" s="2" t="str">
        <f t="shared" si="10"/>
        <v>Medium</v>
      </c>
    </row>
    <row r="683" spans="1:17" x14ac:dyDescent="0.35">
      <c r="A683" s="2" t="s">
        <v>1976</v>
      </c>
      <c r="B683" s="2" t="s">
        <v>654</v>
      </c>
      <c r="C683" s="2" t="s">
        <v>9</v>
      </c>
      <c r="D683" s="2" t="s">
        <v>51</v>
      </c>
      <c r="E683" s="2" t="s">
        <v>31</v>
      </c>
      <c r="F683" s="2">
        <v>40</v>
      </c>
      <c r="G683" s="2" t="s">
        <v>56</v>
      </c>
      <c r="H683" s="3" t="s">
        <v>1977</v>
      </c>
      <c r="I683" s="3" t="s">
        <v>1978</v>
      </c>
      <c r="J683" s="2" t="s">
        <v>6</v>
      </c>
      <c r="K683" s="2">
        <v>136088</v>
      </c>
      <c r="L683" s="2">
        <v>2</v>
      </c>
      <c r="M683" s="2">
        <v>3</v>
      </c>
      <c r="N683" s="2" t="s">
        <v>6</v>
      </c>
      <c r="O683" s="2">
        <v>22</v>
      </c>
      <c r="P683" s="2">
        <f ca="1">ROUND((IF(I683="",TODAY(),I683)-H683)/365,1)</f>
        <v>2.4</v>
      </c>
      <c r="Q683" s="2" t="str">
        <f t="shared" si="10"/>
        <v>N/A</v>
      </c>
    </row>
    <row r="684" spans="1:17" x14ac:dyDescent="0.35">
      <c r="A684" s="2" t="s">
        <v>1979</v>
      </c>
      <c r="B684" s="2" t="s">
        <v>822</v>
      </c>
      <c r="C684" s="2" t="s">
        <v>5</v>
      </c>
      <c r="D684" s="2" t="s">
        <v>94</v>
      </c>
      <c r="E684" s="2" t="s">
        <v>46</v>
      </c>
      <c r="F684" s="2">
        <v>30</v>
      </c>
      <c r="G684" s="2" t="s">
        <v>78</v>
      </c>
      <c r="H684" s="3" t="s">
        <v>1283</v>
      </c>
      <c r="I684" s="3" t="s">
        <v>1980</v>
      </c>
      <c r="J684" s="2" t="s">
        <v>6</v>
      </c>
      <c r="K684" s="2">
        <v>64986</v>
      </c>
      <c r="L684" s="2">
        <v>3</v>
      </c>
      <c r="M684" s="2">
        <v>1</v>
      </c>
      <c r="N684" s="2" t="s">
        <v>8</v>
      </c>
      <c r="O684" s="2">
        <v>14</v>
      </c>
      <c r="P684" s="2">
        <f ca="1">ROUND((IF(I684="",TODAY(),I684)-H684)/365,1)</f>
        <v>4.3</v>
      </c>
      <c r="Q684" s="2" t="str">
        <f t="shared" si="10"/>
        <v>N/A</v>
      </c>
    </row>
    <row r="685" spans="1:17" x14ac:dyDescent="0.35">
      <c r="A685" s="2" t="s">
        <v>1981</v>
      </c>
      <c r="B685" s="2" t="s">
        <v>1982</v>
      </c>
      <c r="C685" s="2" t="s">
        <v>12</v>
      </c>
      <c r="D685" s="2" t="s">
        <v>30</v>
      </c>
      <c r="E685" s="2" t="s">
        <v>46</v>
      </c>
      <c r="F685" s="2">
        <v>31</v>
      </c>
      <c r="G685" s="2" t="s">
        <v>56</v>
      </c>
      <c r="H685" s="3" t="s">
        <v>1983</v>
      </c>
      <c r="I685" s="2"/>
      <c r="J685" s="2" t="s">
        <v>8</v>
      </c>
      <c r="K685" s="2">
        <v>74570</v>
      </c>
      <c r="L685" s="2">
        <v>2</v>
      </c>
      <c r="M685" s="2">
        <v>2</v>
      </c>
      <c r="N685" s="2" t="s">
        <v>8</v>
      </c>
      <c r="O685" s="2">
        <v>35</v>
      </c>
      <c r="P685" s="2">
        <f ca="1">ROUND((IF(I685="",TODAY(),I685)-H685)/365,1)</f>
        <v>1.7</v>
      </c>
      <c r="Q685" s="2" t="str">
        <f t="shared" si="10"/>
        <v>Medium</v>
      </c>
    </row>
    <row r="686" spans="1:17" x14ac:dyDescent="0.35">
      <c r="A686" s="2" t="s">
        <v>1984</v>
      </c>
      <c r="B686" s="2" t="s">
        <v>1499</v>
      </c>
      <c r="C686" s="2" t="s">
        <v>11</v>
      </c>
      <c r="D686" s="2" t="s">
        <v>66</v>
      </c>
      <c r="E686" s="2" t="s">
        <v>31</v>
      </c>
      <c r="F686" s="2">
        <v>34</v>
      </c>
      <c r="G686" s="2" t="s">
        <v>56</v>
      </c>
      <c r="H686" s="3" t="s">
        <v>1208</v>
      </c>
      <c r="I686" s="2"/>
      <c r="J686" s="2" t="s">
        <v>8</v>
      </c>
      <c r="K686" s="2">
        <v>31980</v>
      </c>
      <c r="L686" s="2">
        <v>3</v>
      </c>
      <c r="M686" s="2">
        <v>2</v>
      </c>
      <c r="N686" s="2" t="s">
        <v>8</v>
      </c>
      <c r="O686" s="2">
        <v>16</v>
      </c>
      <c r="P686" s="2">
        <f ca="1">ROUND((IF(I686="",TODAY(),I686)-H686)/365,1)</f>
        <v>2</v>
      </c>
      <c r="Q686" s="2" t="str">
        <f t="shared" si="10"/>
        <v>Medium</v>
      </c>
    </row>
    <row r="687" spans="1:17" x14ac:dyDescent="0.35">
      <c r="A687" s="2" t="s">
        <v>1985</v>
      </c>
      <c r="B687" s="2" t="s">
        <v>798</v>
      </c>
      <c r="C687" s="2" t="s">
        <v>7</v>
      </c>
      <c r="D687" s="2" t="s">
        <v>37</v>
      </c>
      <c r="E687" s="2" t="s">
        <v>46</v>
      </c>
      <c r="F687" s="2">
        <v>52</v>
      </c>
      <c r="G687" s="2" t="s">
        <v>56</v>
      </c>
      <c r="H687" s="3" t="s">
        <v>1986</v>
      </c>
      <c r="I687" s="2"/>
      <c r="J687" s="2" t="s">
        <v>8</v>
      </c>
      <c r="K687" s="2">
        <v>75871</v>
      </c>
      <c r="L687" s="2">
        <v>2</v>
      </c>
      <c r="M687" s="2">
        <v>1</v>
      </c>
      <c r="N687" s="2" t="s">
        <v>8</v>
      </c>
      <c r="O687" s="2">
        <v>33</v>
      </c>
      <c r="P687" s="2">
        <f ca="1">ROUND((IF(I687="",TODAY(),I687)-H687)/365,1)</f>
        <v>2.7</v>
      </c>
      <c r="Q687" s="2" t="str">
        <f t="shared" si="10"/>
        <v>Medium</v>
      </c>
    </row>
    <row r="688" spans="1:17" x14ac:dyDescent="0.35">
      <c r="A688" s="2" t="s">
        <v>1987</v>
      </c>
      <c r="B688" s="2" t="s">
        <v>984</v>
      </c>
      <c r="C688" s="2" t="s">
        <v>9</v>
      </c>
      <c r="D688" s="2" t="s">
        <v>41</v>
      </c>
      <c r="E688" s="2" t="s">
        <v>46</v>
      </c>
      <c r="F688" s="2">
        <v>45</v>
      </c>
      <c r="G688" s="2" t="s">
        <v>78</v>
      </c>
      <c r="H688" s="3" t="s">
        <v>1988</v>
      </c>
      <c r="I688" s="2"/>
      <c r="J688" s="2" t="s">
        <v>8</v>
      </c>
      <c r="K688" s="2">
        <v>101177</v>
      </c>
      <c r="L688" s="2">
        <v>4</v>
      </c>
      <c r="M688" s="2">
        <v>4</v>
      </c>
      <c r="N688" s="2" t="s">
        <v>8</v>
      </c>
      <c r="O688" s="2">
        <v>18</v>
      </c>
      <c r="P688" s="2">
        <f ca="1">ROUND((IF(I688="",TODAY(),I688)-H688)/365,1)</f>
        <v>5.7</v>
      </c>
      <c r="Q688" s="2" t="str">
        <f t="shared" si="10"/>
        <v>Low</v>
      </c>
    </row>
    <row r="689" spans="1:17" x14ac:dyDescent="0.35">
      <c r="A689" s="2" t="s">
        <v>1989</v>
      </c>
      <c r="B689" s="2" t="s">
        <v>1990</v>
      </c>
      <c r="C689" s="2" t="s">
        <v>11</v>
      </c>
      <c r="D689" s="2" t="s">
        <v>98</v>
      </c>
      <c r="E689" s="2" t="s">
        <v>31</v>
      </c>
      <c r="F689" s="2">
        <v>34</v>
      </c>
      <c r="G689" s="2" t="s">
        <v>78</v>
      </c>
      <c r="H689" s="3" t="s">
        <v>364</v>
      </c>
      <c r="I689" s="2"/>
      <c r="J689" s="2" t="s">
        <v>8</v>
      </c>
      <c r="K689" s="2">
        <v>80708</v>
      </c>
      <c r="L689" s="2">
        <v>2</v>
      </c>
      <c r="M689" s="2">
        <v>4</v>
      </c>
      <c r="N689" s="2" t="s">
        <v>8</v>
      </c>
      <c r="O689" s="2">
        <v>20</v>
      </c>
      <c r="P689" s="2">
        <f ca="1">ROUND((IF(I689="",TODAY(),I689)-H689)/365,1)</f>
        <v>6.5</v>
      </c>
      <c r="Q689" s="2" t="str">
        <f t="shared" si="10"/>
        <v>Low</v>
      </c>
    </row>
    <row r="690" spans="1:17" x14ac:dyDescent="0.35">
      <c r="A690" s="2" t="s">
        <v>1991</v>
      </c>
      <c r="B690" s="2" t="s">
        <v>509</v>
      </c>
      <c r="C690" s="2" t="s">
        <v>9</v>
      </c>
      <c r="D690" s="2" t="s">
        <v>41</v>
      </c>
      <c r="E690" s="2" t="s">
        <v>31</v>
      </c>
      <c r="F690" s="2">
        <v>40</v>
      </c>
      <c r="G690" s="2" t="s">
        <v>56</v>
      </c>
      <c r="H690" s="3" t="s">
        <v>1992</v>
      </c>
      <c r="I690" s="2"/>
      <c r="J690" s="2" t="s">
        <v>8</v>
      </c>
      <c r="K690" s="2">
        <v>85981</v>
      </c>
      <c r="L690" s="2">
        <v>5</v>
      </c>
      <c r="M690" s="2">
        <v>2</v>
      </c>
      <c r="N690" s="2" t="s">
        <v>8</v>
      </c>
      <c r="O690" s="2">
        <v>3</v>
      </c>
      <c r="P690" s="2">
        <f ca="1">ROUND((IF(I690="",TODAY(),I690)-H690)/365,1)</f>
        <v>6.6</v>
      </c>
      <c r="Q690" s="2" t="str">
        <f t="shared" si="10"/>
        <v>Medium</v>
      </c>
    </row>
    <row r="691" spans="1:17" x14ac:dyDescent="0.35">
      <c r="A691" s="2" t="s">
        <v>1993</v>
      </c>
      <c r="B691" s="2" t="s">
        <v>1994</v>
      </c>
      <c r="C691" s="2" t="s">
        <v>10</v>
      </c>
      <c r="D691" s="2" t="s">
        <v>258</v>
      </c>
      <c r="E691" s="2" t="s">
        <v>46</v>
      </c>
      <c r="F691" s="2">
        <v>45</v>
      </c>
      <c r="G691" s="2" t="s">
        <v>78</v>
      </c>
      <c r="H691" s="3" t="s">
        <v>1995</v>
      </c>
      <c r="I691" s="2"/>
      <c r="J691" s="2" t="s">
        <v>8</v>
      </c>
      <c r="K691" s="2">
        <v>48536</v>
      </c>
      <c r="L691" s="2">
        <v>4</v>
      </c>
      <c r="M691" s="2">
        <v>3</v>
      </c>
      <c r="N691" s="2" t="s">
        <v>8</v>
      </c>
      <c r="O691" s="2">
        <v>2</v>
      </c>
      <c r="P691" s="2">
        <f ca="1">ROUND((IF(I691="",TODAY(),I691)-H691)/365,1)</f>
        <v>2.6</v>
      </c>
      <c r="Q691" s="2" t="str">
        <f t="shared" si="10"/>
        <v>Low</v>
      </c>
    </row>
    <row r="692" spans="1:17" x14ac:dyDescent="0.35">
      <c r="A692" s="2" t="s">
        <v>1996</v>
      </c>
      <c r="B692" s="2" t="s">
        <v>736</v>
      </c>
      <c r="C692" s="2" t="s">
        <v>12</v>
      </c>
      <c r="D692" s="2" t="s">
        <v>30</v>
      </c>
      <c r="E692" s="2" t="s">
        <v>46</v>
      </c>
      <c r="F692" s="2">
        <v>54</v>
      </c>
      <c r="G692" s="2" t="s">
        <v>32</v>
      </c>
      <c r="H692" s="3" t="s">
        <v>1997</v>
      </c>
      <c r="I692" s="3" t="s">
        <v>1998</v>
      </c>
      <c r="J692" s="2" t="s">
        <v>6</v>
      </c>
      <c r="K692" s="2">
        <v>37898</v>
      </c>
      <c r="L692" s="2">
        <v>3</v>
      </c>
      <c r="M692" s="2">
        <v>1</v>
      </c>
      <c r="N692" s="2" t="s">
        <v>8</v>
      </c>
      <c r="O692" s="2">
        <v>15</v>
      </c>
      <c r="P692" s="2">
        <f ca="1">ROUND((IF(I692="",TODAY(),I692)-H692)/365,1)</f>
        <v>0.6</v>
      </c>
      <c r="Q692" s="2" t="str">
        <f t="shared" si="10"/>
        <v>N/A</v>
      </c>
    </row>
    <row r="693" spans="1:17" x14ac:dyDescent="0.35">
      <c r="A693" s="2" t="s">
        <v>1999</v>
      </c>
      <c r="B693" s="2" t="s">
        <v>2000</v>
      </c>
      <c r="C693" s="2" t="s">
        <v>11</v>
      </c>
      <c r="D693" s="2" t="s">
        <v>45</v>
      </c>
      <c r="E693" s="2" t="s">
        <v>46</v>
      </c>
      <c r="F693" s="2">
        <v>38</v>
      </c>
      <c r="G693" s="2" t="s">
        <v>56</v>
      </c>
      <c r="H693" s="3" t="s">
        <v>2001</v>
      </c>
      <c r="I693" s="2"/>
      <c r="J693" s="2" t="s">
        <v>8</v>
      </c>
      <c r="K693" s="2">
        <v>43070</v>
      </c>
      <c r="L693" s="2">
        <v>2</v>
      </c>
      <c r="M693" s="2">
        <v>3</v>
      </c>
      <c r="N693" s="2" t="s">
        <v>8</v>
      </c>
      <c r="O693" s="2">
        <v>39</v>
      </c>
      <c r="P693" s="2">
        <f ca="1">ROUND((IF(I693="",TODAY(),I693)-H693)/365,1)</f>
        <v>8.1999999999999993</v>
      </c>
      <c r="Q693" s="2" t="str">
        <f t="shared" si="10"/>
        <v>Low</v>
      </c>
    </row>
    <row r="694" spans="1:17" x14ac:dyDescent="0.35">
      <c r="A694" s="2" t="s">
        <v>2002</v>
      </c>
      <c r="B694" s="2" t="s">
        <v>1648</v>
      </c>
      <c r="C694" s="2" t="s">
        <v>9</v>
      </c>
      <c r="D694" s="2" t="s">
        <v>51</v>
      </c>
      <c r="E694" s="2" t="s">
        <v>46</v>
      </c>
      <c r="F694" s="2">
        <v>47</v>
      </c>
      <c r="G694" s="2" t="s">
        <v>32</v>
      </c>
      <c r="H694" s="3" t="s">
        <v>2003</v>
      </c>
      <c r="I694" s="2"/>
      <c r="J694" s="2" t="s">
        <v>8</v>
      </c>
      <c r="K694" s="2">
        <v>92193</v>
      </c>
      <c r="L694" s="2">
        <v>4</v>
      </c>
      <c r="M694" s="2">
        <v>1</v>
      </c>
      <c r="N694" s="2" t="s">
        <v>8</v>
      </c>
      <c r="O694" s="2">
        <v>42</v>
      </c>
      <c r="P694" s="2">
        <f ca="1">ROUND((IF(I694="",TODAY(),I694)-H694)/365,1)</f>
        <v>7.1</v>
      </c>
      <c r="Q694" s="2" t="str">
        <f t="shared" si="10"/>
        <v>Medium</v>
      </c>
    </row>
    <row r="695" spans="1:17" x14ac:dyDescent="0.35">
      <c r="A695" s="2" t="s">
        <v>2004</v>
      </c>
      <c r="B695" s="2" t="s">
        <v>2005</v>
      </c>
      <c r="C695" s="2" t="s">
        <v>7</v>
      </c>
      <c r="D695" s="2" t="s">
        <v>155</v>
      </c>
      <c r="E695" s="2" t="s">
        <v>31</v>
      </c>
      <c r="F695" s="2">
        <v>55</v>
      </c>
      <c r="G695" s="2" t="s">
        <v>32</v>
      </c>
      <c r="H695" s="3" t="s">
        <v>2006</v>
      </c>
      <c r="I695" s="2"/>
      <c r="J695" s="2" t="s">
        <v>8</v>
      </c>
      <c r="K695" s="2">
        <v>128797</v>
      </c>
      <c r="L695" s="2">
        <v>4</v>
      </c>
      <c r="M695" s="2">
        <v>4</v>
      </c>
      <c r="N695" s="2" t="s">
        <v>8</v>
      </c>
      <c r="O695" s="2">
        <v>22</v>
      </c>
      <c r="P695" s="2">
        <f ca="1">ROUND((IF(I695="",TODAY(),I695)-H695)/365,1)</f>
        <v>5</v>
      </c>
      <c r="Q695" s="2" t="str">
        <f t="shared" si="10"/>
        <v>Low</v>
      </c>
    </row>
    <row r="696" spans="1:17" x14ac:dyDescent="0.35">
      <c r="A696" s="2" t="s">
        <v>2007</v>
      </c>
      <c r="B696" s="2" t="s">
        <v>1720</v>
      </c>
      <c r="C696" s="2" t="s">
        <v>7</v>
      </c>
      <c r="D696" s="2" t="s">
        <v>125</v>
      </c>
      <c r="E696" s="2" t="s">
        <v>46</v>
      </c>
      <c r="F696" s="2">
        <v>50</v>
      </c>
      <c r="G696" s="2" t="s">
        <v>32</v>
      </c>
      <c r="H696" s="3" t="s">
        <v>1688</v>
      </c>
      <c r="I696" s="2"/>
      <c r="J696" s="2" t="s">
        <v>8</v>
      </c>
      <c r="K696" s="2">
        <v>139524</v>
      </c>
      <c r="L696" s="2">
        <v>2</v>
      </c>
      <c r="M696" s="2">
        <v>3</v>
      </c>
      <c r="N696" s="2" t="s">
        <v>8</v>
      </c>
      <c r="O696" s="2">
        <v>37</v>
      </c>
      <c r="P696" s="2">
        <f ca="1">ROUND((IF(I696="",TODAY(),I696)-H696)/365,1)</f>
        <v>2</v>
      </c>
      <c r="Q696" s="2" t="str">
        <f t="shared" si="10"/>
        <v>Low</v>
      </c>
    </row>
    <row r="697" spans="1:17" x14ac:dyDescent="0.35">
      <c r="A697" s="2" t="s">
        <v>2008</v>
      </c>
      <c r="B697" s="2" t="s">
        <v>2009</v>
      </c>
      <c r="C697" s="2" t="s">
        <v>12</v>
      </c>
      <c r="D697" s="2" t="s">
        <v>30</v>
      </c>
      <c r="E697" s="2" t="s">
        <v>46</v>
      </c>
      <c r="F697" s="2">
        <v>36</v>
      </c>
      <c r="G697" s="2" t="s">
        <v>56</v>
      </c>
      <c r="H697" s="3" t="s">
        <v>2010</v>
      </c>
      <c r="I697" s="3" t="s">
        <v>2011</v>
      </c>
      <c r="J697" s="2" t="s">
        <v>6</v>
      </c>
      <c r="K697" s="2">
        <v>67739</v>
      </c>
      <c r="L697" s="2">
        <v>5</v>
      </c>
      <c r="M697" s="2">
        <v>4</v>
      </c>
      <c r="N697" s="2" t="s">
        <v>8</v>
      </c>
      <c r="O697" s="2">
        <v>20</v>
      </c>
      <c r="P697" s="2">
        <f ca="1">ROUND((IF(I697="",TODAY(),I697)-H697)/365,1)</f>
        <v>0.5</v>
      </c>
      <c r="Q697" s="2" t="str">
        <f t="shared" si="10"/>
        <v>N/A</v>
      </c>
    </row>
    <row r="698" spans="1:17" x14ac:dyDescent="0.35">
      <c r="A698" s="2" t="s">
        <v>2012</v>
      </c>
      <c r="B698" s="2" t="s">
        <v>420</v>
      </c>
      <c r="C698" s="2" t="s">
        <v>7</v>
      </c>
      <c r="D698" s="2" t="s">
        <v>155</v>
      </c>
      <c r="E698" s="2" t="s">
        <v>46</v>
      </c>
      <c r="F698" s="2">
        <v>58</v>
      </c>
      <c r="G698" s="2" t="s">
        <v>56</v>
      </c>
      <c r="H698" s="3" t="s">
        <v>2013</v>
      </c>
      <c r="I698" s="2"/>
      <c r="J698" s="2" t="s">
        <v>8</v>
      </c>
      <c r="K698" s="2">
        <v>33350</v>
      </c>
      <c r="L698" s="2">
        <v>2</v>
      </c>
      <c r="M698" s="2">
        <v>4</v>
      </c>
      <c r="N698" s="2" t="s">
        <v>8</v>
      </c>
      <c r="O698" s="2">
        <v>26</v>
      </c>
      <c r="P698" s="2">
        <f ca="1">ROUND((IF(I698="",TODAY(),I698)-H698)/365,1)</f>
        <v>1.9</v>
      </c>
      <c r="Q698" s="2" t="str">
        <f t="shared" si="10"/>
        <v>Low</v>
      </c>
    </row>
    <row r="699" spans="1:17" x14ac:dyDescent="0.35">
      <c r="A699" s="2" t="s">
        <v>2014</v>
      </c>
      <c r="B699" s="2" t="s">
        <v>2015</v>
      </c>
      <c r="C699" s="2" t="s">
        <v>10</v>
      </c>
      <c r="D699" s="2" t="s">
        <v>111</v>
      </c>
      <c r="E699" s="2" t="s">
        <v>46</v>
      </c>
      <c r="F699" s="2">
        <v>41</v>
      </c>
      <c r="G699" s="2" t="s">
        <v>56</v>
      </c>
      <c r="H699" s="3" t="s">
        <v>1391</v>
      </c>
      <c r="I699" s="2"/>
      <c r="J699" s="2" t="s">
        <v>8</v>
      </c>
      <c r="K699" s="2">
        <v>133327</v>
      </c>
      <c r="L699" s="2">
        <v>2</v>
      </c>
      <c r="M699" s="2">
        <v>5</v>
      </c>
      <c r="N699" s="2" t="s">
        <v>6</v>
      </c>
      <c r="O699" s="2">
        <v>3</v>
      </c>
      <c r="P699" s="2">
        <f ca="1">ROUND((IF(I699="",TODAY(),I699)-H699)/365,1)</f>
        <v>10.6</v>
      </c>
      <c r="Q699" s="2" t="str">
        <f t="shared" si="10"/>
        <v>Medium</v>
      </c>
    </row>
    <row r="700" spans="1:17" x14ac:dyDescent="0.35">
      <c r="A700" s="2" t="s">
        <v>2016</v>
      </c>
      <c r="B700" s="2" t="s">
        <v>681</v>
      </c>
      <c r="C700" s="2" t="s">
        <v>5</v>
      </c>
      <c r="D700" s="2" t="s">
        <v>94</v>
      </c>
      <c r="E700" s="2" t="s">
        <v>31</v>
      </c>
      <c r="F700" s="2">
        <v>40</v>
      </c>
      <c r="G700" s="2" t="s">
        <v>78</v>
      </c>
      <c r="H700" s="3" t="s">
        <v>2017</v>
      </c>
      <c r="I700" s="2"/>
      <c r="J700" s="2" t="s">
        <v>8</v>
      </c>
      <c r="K700" s="2">
        <v>32530</v>
      </c>
      <c r="L700" s="2">
        <v>1</v>
      </c>
      <c r="M700" s="2">
        <v>5</v>
      </c>
      <c r="N700" s="2" t="s">
        <v>6</v>
      </c>
      <c r="O700" s="2">
        <v>30</v>
      </c>
      <c r="P700" s="2">
        <f ca="1">ROUND((IF(I700="",TODAY(),I700)-H700)/365,1)</f>
        <v>9.3000000000000007</v>
      </c>
      <c r="Q700" s="2" t="str">
        <f t="shared" si="10"/>
        <v>Medium</v>
      </c>
    </row>
    <row r="701" spans="1:17" x14ac:dyDescent="0.35">
      <c r="A701" s="2" t="s">
        <v>2018</v>
      </c>
      <c r="B701" s="2" t="s">
        <v>1201</v>
      </c>
      <c r="C701" s="2" t="s">
        <v>7</v>
      </c>
      <c r="D701" s="2" t="s">
        <v>125</v>
      </c>
      <c r="E701" s="2" t="s">
        <v>46</v>
      </c>
      <c r="F701" s="2">
        <v>29</v>
      </c>
      <c r="G701" s="2" t="s">
        <v>32</v>
      </c>
      <c r="H701" s="3" t="s">
        <v>2019</v>
      </c>
      <c r="I701" s="3" t="s">
        <v>2020</v>
      </c>
      <c r="J701" s="2" t="s">
        <v>6</v>
      </c>
      <c r="K701" s="2">
        <v>143435</v>
      </c>
      <c r="L701" s="2">
        <v>1</v>
      </c>
      <c r="M701" s="2">
        <v>4</v>
      </c>
      <c r="N701" s="2" t="s">
        <v>8</v>
      </c>
      <c r="O701" s="2">
        <v>25</v>
      </c>
      <c r="P701" s="2">
        <f ca="1">ROUND((IF(I701="",TODAY(),I701)-H701)/365,1)</f>
        <v>2.5</v>
      </c>
      <c r="Q701" s="2" t="str">
        <f t="shared" si="10"/>
        <v>N/A</v>
      </c>
    </row>
    <row r="702" spans="1:17" x14ac:dyDescent="0.35">
      <c r="A702" s="2" t="s">
        <v>2021</v>
      </c>
      <c r="B702" s="2" t="s">
        <v>1709</v>
      </c>
      <c r="C702" s="2" t="s">
        <v>9</v>
      </c>
      <c r="D702" s="2" t="s">
        <v>41</v>
      </c>
      <c r="E702" s="2" t="s">
        <v>46</v>
      </c>
      <c r="F702" s="2">
        <v>58</v>
      </c>
      <c r="G702" s="2" t="s">
        <v>32</v>
      </c>
      <c r="H702" s="3" t="s">
        <v>424</v>
      </c>
      <c r="I702" s="2"/>
      <c r="J702" s="2" t="s">
        <v>8</v>
      </c>
      <c r="K702" s="2">
        <v>51437</v>
      </c>
      <c r="L702" s="2">
        <v>4</v>
      </c>
      <c r="M702" s="2">
        <v>5</v>
      </c>
      <c r="N702" s="2" t="s">
        <v>8</v>
      </c>
      <c r="O702" s="2">
        <v>18</v>
      </c>
      <c r="P702" s="2">
        <f ca="1">ROUND((IF(I702="",TODAY(),I702)-H702)/365,1)</f>
        <v>8.1</v>
      </c>
      <c r="Q702" s="2" t="str">
        <f t="shared" si="10"/>
        <v>Low</v>
      </c>
    </row>
    <row r="703" spans="1:17" x14ac:dyDescent="0.35">
      <c r="A703" s="2" t="s">
        <v>2022</v>
      </c>
      <c r="B703" s="2" t="s">
        <v>837</v>
      </c>
      <c r="C703" s="2" t="s">
        <v>10</v>
      </c>
      <c r="D703" s="2" t="s">
        <v>111</v>
      </c>
      <c r="E703" s="2" t="s">
        <v>46</v>
      </c>
      <c r="F703" s="2">
        <v>55</v>
      </c>
      <c r="G703" s="2" t="s">
        <v>32</v>
      </c>
      <c r="H703" s="3" t="s">
        <v>2023</v>
      </c>
      <c r="I703" s="2"/>
      <c r="J703" s="2" t="s">
        <v>8</v>
      </c>
      <c r="K703" s="2">
        <v>100514</v>
      </c>
      <c r="L703" s="2">
        <v>4</v>
      </c>
      <c r="M703" s="2">
        <v>4</v>
      </c>
      <c r="N703" s="2" t="s">
        <v>8</v>
      </c>
      <c r="O703" s="2">
        <v>30</v>
      </c>
      <c r="P703" s="2">
        <f ca="1">ROUND((IF(I703="",TODAY(),I703)-H703)/365,1)</f>
        <v>7.9</v>
      </c>
      <c r="Q703" s="2" t="str">
        <f t="shared" si="10"/>
        <v>Low</v>
      </c>
    </row>
    <row r="704" spans="1:17" x14ac:dyDescent="0.35">
      <c r="A704" s="2" t="s">
        <v>2024</v>
      </c>
      <c r="B704" s="2" t="s">
        <v>2025</v>
      </c>
      <c r="C704" s="2" t="s">
        <v>9</v>
      </c>
      <c r="D704" s="2" t="s">
        <v>77</v>
      </c>
      <c r="E704" s="2" t="s">
        <v>46</v>
      </c>
      <c r="F704" s="2">
        <v>47</v>
      </c>
      <c r="G704" s="2" t="s">
        <v>56</v>
      </c>
      <c r="H704" s="3" t="s">
        <v>2026</v>
      </c>
      <c r="I704" s="2"/>
      <c r="J704" s="2" t="s">
        <v>8</v>
      </c>
      <c r="K704" s="2">
        <v>48537</v>
      </c>
      <c r="L704" s="2">
        <v>4</v>
      </c>
      <c r="M704" s="2">
        <v>2</v>
      </c>
      <c r="N704" s="2" t="s">
        <v>8</v>
      </c>
      <c r="O704" s="2">
        <v>16</v>
      </c>
      <c r="P704" s="2">
        <f ca="1">ROUND((IF(I704="",TODAY(),I704)-H704)/365,1)</f>
        <v>4.7</v>
      </c>
      <c r="Q704" s="2" t="str">
        <f t="shared" si="10"/>
        <v>Medium</v>
      </c>
    </row>
    <row r="705" spans="1:17" x14ac:dyDescent="0.35">
      <c r="A705" s="2" t="s">
        <v>2027</v>
      </c>
      <c r="B705" s="2" t="s">
        <v>2028</v>
      </c>
      <c r="C705" s="2" t="s">
        <v>10</v>
      </c>
      <c r="D705" s="2" t="s">
        <v>258</v>
      </c>
      <c r="E705" s="2" t="s">
        <v>31</v>
      </c>
      <c r="F705" s="2">
        <v>47</v>
      </c>
      <c r="G705" s="2" t="s">
        <v>56</v>
      </c>
      <c r="H705" s="3" t="s">
        <v>2029</v>
      </c>
      <c r="I705" s="2"/>
      <c r="J705" s="2" t="s">
        <v>8</v>
      </c>
      <c r="K705" s="2">
        <v>140678</v>
      </c>
      <c r="L705" s="2">
        <v>2</v>
      </c>
      <c r="M705" s="2">
        <v>2</v>
      </c>
      <c r="N705" s="2" t="s">
        <v>8</v>
      </c>
      <c r="O705" s="2">
        <v>18</v>
      </c>
      <c r="P705" s="2">
        <f ca="1">ROUND((IF(I705="",TODAY(),I705)-H705)/365,1)</f>
        <v>3.8</v>
      </c>
      <c r="Q705" s="2" t="str">
        <f t="shared" si="10"/>
        <v>Medium</v>
      </c>
    </row>
    <row r="706" spans="1:17" x14ac:dyDescent="0.35">
      <c r="A706" s="2" t="s">
        <v>2030</v>
      </c>
      <c r="B706" s="2" t="s">
        <v>1690</v>
      </c>
      <c r="C706" s="2" t="s">
        <v>12</v>
      </c>
      <c r="D706" s="2" t="s">
        <v>30</v>
      </c>
      <c r="E706" s="2" t="s">
        <v>31</v>
      </c>
      <c r="F706" s="2">
        <v>57</v>
      </c>
      <c r="G706" s="2" t="s">
        <v>78</v>
      </c>
      <c r="H706" s="3" t="s">
        <v>1516</v>
      </c>
      <c r="I706" s="2"/>
      <c r="J706" s="2" t="s">
        <v>8</v>
      </c>
      <c r="K706" s="2">
        <v>125471</v>
      </c>
      <c r="L706" s="2">
        <v>1</v>
      </c>
      <c r="M706" s="2">
        <v>1</v>
      </c>
      <c r="N706" s="2" t="s">
        <v>8</v>
      </c>
      <c r="O706" s="2">
        <v>33</v>
      </c>
      <c r="P706" s="2">
        <f ca="1">ROUND((IF(I706="",TODAY(),I706)-H706)/365,1)</f>
        <v>10.3</v>
      </c>
      <c r="Q706" s="2" t="str">
        <f t="shared" ref="Q706:Q769" si="11">IF(J706="No",IF(AND(M706&lt;=2,N706="Yes"),"High",IF(OR(M706&lt;=2,N706="Yes"),"Medium","Low")),"N/A")</f>
        <v>Medium</v>
      </c>
    </row>
    <row r="707" spans="1:17" x14ac:dyDescent="0.35">
      <c r="A707" s="2" t="s">
        <v>2031</v>
      </c>
      <c r="B707" s="2" t="s">
        <v>668</v>
      </c>
      <c r="C707" s="2" t="s">
        <v>7</v>
      </c>
      <c r="D707" s="2" t="s">
        <v>125</v>
      </c>
      <c r="E707" s="2" t="s">
        <v>31</v>
      </c>
      <c r="F707" s="2">
        <v>51</v>
      </c>
      <c r="G707" s="2" t="s">
        <v>78</v>
      </c>
      <c r="H707" s="3" t="s">
        <v>2032</v>
      </c>
      <c r="I707" s="2"/>
      <c r="J707" s="2" t="s">
        <v>8</v>
      </c>
      <c r="K707" s="2">
        <v>122774</v>
      </c>
      <c r="L707" s="2">
        <v>4</v>
      </c>
      <c r="M707" s="2">
        <v>4</v>
      </c>
      <c r="N707" s="2" t="s">
        <v>6</v>
      </c>
      <c r="O707" s="2">
        <v>22</v>
      </c>
      <c r="P707" s="2">
        <f ca="1">ROUND((IF(I707="",TODAY(),I707)-H707)/365,1)</f>
        <v>11.3</v>
      </c>
      <c r="Q707" s="2" t="str">
        <f t="shared" si="11"/>
        <v>Medium</v>
      </c>
    </row>
    <row r="708" spans="1:17" x14ac:dyDescent="0.35">
      <c r="A708" s="2" t="s">
        <v>2033</v>
      </c>
      <c r="B708" s="2" t="s">
        <v>1428</v>
      </c>
      <c r="C708" s="2" t="s">
        <v>10</v>
      </c>
      <c r="D708" s="2" t="s">
        <v>111</v>
      </c>
      <c r="E708" s="2" t="s">
        <v>31</v>
      </c>
      <c r="F708" s="2">
        <v>30</v>
      </c>
      <c r="G708" s="2" t="s">
        <v>32</v>
      </c>
      <c r="H708" s="3" t="s">
        <v>2034</v>
      </c>
      <c r="I708" s="2"/>
      <c r="J708" s="2" t="s">
        <v>8</v>
      </c>
      <c r="K708" s="2">
        <v>33943</v>
      </c>
      <c r="L708" s="2">
        <v>4</v>
      </c>
      <c r="M708" s="2">
        <v>4</v>
      </c>
      <c r="N708" s="2" t="s">
        <v>8</v>
      </c>
      <c r="O708" s="2">
        <v>30</v>
      </c>
      <c r="P708" s="2">
        <f ca="1">ROUND((IF(I708="",TODAY(),I708)-H708)/365,1)</f>
        <v>7.9</v>
      </c>
      <c r="Q708" s="2" t="str">
        <f t="shared" si="11"/>
        <v>Low</v>
      </c>
    </row>
    <row r="709" spans="1:17" x14ac:dyDescent="0.35">
      <c r="A709" s="2" t="s">
        <v>2035</v>
      </c>
      <c r="B709" s="2" t="s">
        <v>2036</v>
      </c>
      <c r="C709" s="2" t="s">
        <v>7</v>
      </c>
      <c r="D709" s="2" t="s">
        <v>37</v>
      </c>
      <c r="E709" s="2" t="s">
        <v>46</v>
      </c>
      <c r="F709" s="2">
        <v>39</v>
      </c>
      <c r="G709" s="2" t="s">
        <v>78</v>
      </c>
      <c r="H709" s="3" t="s">
        <v>1116</v>
      </c>
      <c r="I709" s="3" t="s">
        <v>2037</v>
      </c>
      <c r="J709" s="2" t="s">
        <v>6</v>
      </c>
      <c r="K709" s="2">
        <v>48230</v>
      </c>
      <c r="L709" s="2">
        <v>5</v>
      </c>
      <c r="M709" s="2">
        <v>1</v>
      </c>
      <c r="N709" s="2" t="s">
        <v>6</v>
      </c>
      <c r="O709" s="2">
        <v>7</v>
      </c>
      <c r="P709" s="2">
        <f ca="1">ROUND((IF(I709="",TODAY(),I709)-H709)/365,1)</f>
        <v>1.3</v>
      </c>
      <c r="Q709" s="2" t="str">
        <f t="shared" si="11"/>
        <v>N/A</v>
      </c>
    </row>
    <row r="710" spans="1:17" x14ac:dyDescent="0.35">
      <c r="A710" s="2" t="s">
        <v>2038</v>
      </c>
      <c r="B710" s="2" t="s">
        <v>2039</v>
      </c>
      <c r="C710" s="2" t="s">
        <v>7</v>
      </c>
      <c r="D710" s="2" t="s">
        <v>155</v>
      </c>
      <c r="E710" s="2" t="s">
        <v>31</v>
      </c>
      <c r="F710" s="2">
        <v>50</v>
      </c>
      <c r="G710" s="2" t="s">
        <v>56</v>
      </c>
      <c r="H710" s="3" t="s">
        <v>2040</v>
      </c>
      <c r="I710" s="3" t="s">
        <v>2041</v>
      </c>
      <c r="J710" s="2" t="s">
        <v>6</v>
      </c>
      <c r="K710" s="2">
        <v>82941</v>
      </c>
      <c r="L710" s="2">
        <v>5</v>
      </c>
      <c r="M710" s="2">
        <v>1</v>
      </c>
      <c r="N710" s="2" t="s">
        <v>6</v>
      </c>
      <c r="O710" s="2">
        <v>14</v>
      </c>
      <c r="P710" s="2">
        <f ca="1">ROUND((IF(I710="",TODAY(),I710)-H710)/365,1)</f>
        <v>7.3</v>
      </c>
      <c r="Q710" s="2" t="str">
        <f t="shared" si="11"/>
        <v>N/A</v>
      </c>
    </row>
    <row r="711" spans="1:17" x14ac:dyDescent="0.35">
      <c r="A711" s="2" t="s">
        <v>2042</v>
      </c>
      <c r="B711" s="2" t="s">
        <v>1626</v>
      </c>
      <c r="C711" s="2" t="s">
        <v>11</v>
      </c>
      <c r="D711" s="2" t="s">
        <v>98</v>
      </c>
      <c r="E711" s="2" t="s">
        <v>31</v>
      </c>
      <c r="F711" s="2">
        <v>50</v>
      </c>
      <c r="G711" s="2" t="s">
        <v>32</v>
      </c>
      <c r="H711" s="3" t="s">
        <v>2043</v>
      </c>
      <c r="I711" s="2"/>
      <c r="J711" s="2" t="s">
        <v>8</v>
      </c>
      <c r="K711" s="2">
        <v>146742</v>
      </c>
      <c r="L711" s="2">
        <v>4</v>
      </c>
      <c r="M711" s="2">
        <v>1</v>
      </c>
      <c r="N711" s="2" t="s">
        <v>8</v>
      </c>
      <c r="O711" s="2">
        <v>13</v>
      </c>
      <c r="P711" s="2">
        <f ca="1">ROUND((IF(I711="",TODAY(),I711)-H711)/365,1)</f>
        <v>11</v>
      </c>
      <c r="Q711" s="2" t="str">
        <f t="shared" si="11"/>
        <v>Medium</v>
      </c>
    </row>
    <row r="712" spans="1:17" x14ac:dyDescent="0.35">
      <c r="A712" s="2" t="s">
        <v>2044</v>
      </c>
      <c r="B712" s="2" t="s">
        <v>2045</v>
      </c>
      <c r="C712" s="2" t="s">
        <v>7</v>
      </c>
      <c r="D712" s="2" t="s">
        <v>155</v>
      </c>
      <c r="E712" s="2" t="s">
        <v>31</v>
      </c>
      <c r="F712" s="2">
        <v>23</v>
      </c>
      <c r="G712" s="2" t="s">
        <v>32</v>
      </c>
      <c r="H712" s="3" t="s">
        <v>2046</v>
      </c>
      <c r="I712" s="2"/>
      <c r="J712" s="2" t="s">
        <v>8</v>
      </c>
      <c r="K712" s="2">
        <v>140642</v>
      </c>
      <c r="L712" s="2">
        <v>1</v>
      </c>
      <c r="M712" s="2">
        <v>2</v>
      </c>
      <c r="N712" s="2" t="s">
        <v>6</v>
      </c>
      <c r="O712" s="2">
        <v>15</v>
      </c>
      <c r="P712" s="2">
        <f ca="1">ROUND((IF(I712="",TODAY(),I712)-H712)/365,1)</f>
        <v>11.4</v>
      </c>
      <c r="Q712" s="2" t="str">
        <f t="shared" si="11"/>
        <v>High</v>
      </c>
    </row>
    <row r="713" spans="1:17" x14ac:dyDescent="0.35">
      <c r="A713" s="2" t="s">
        <v>2047</v>
      </c>
      <c r="B713" s="2" t="s">
        <v>2048</v>
      </c>
      <c r="C713" s="2" t="s">
        <v>12</v>
      </c>
      <c r="D713" s="2" t="s">
        <v>30</v>
      </c>
      <c r="E713" s="2" t="s">
        <v>31</v>
      </c>
      <c r="F713" s="2">
        <v>54</v>
      </c>
      <c r="G713" s="2" t="s">
        <v>56</v>
      </c>
      <c r="H713" s="3" t="s">
        <v>2049</v>
      </c>
      <c r="I713" s="2"/>
      <c r="J713" s="2" t="s">
        <v>8</v>
      </c>
      <c r="K713" s="2">
        <v>49844</v>
      </c>
      <c r="L713" s="2">
        <v>5</v>
      </c>
      <c r="M713" s="2">
        <v>3</v>
      </c>
      <c r="N713" s="2" t="s">
        <v>8</v>
      </c>
      <c r="O713" s="2">
        <v>41</v>
      </c>
      <c r="P713" s="2">
        <f ca="1">ROUND((IF(I713="",TODAY(),I713)-H713)/365,1)</f>
        <v>10.4</v>
      </c>
      <c r="Q713" s="2" t="str">
        <f t="shared" si="11"/>
        <v>Low</v>
      </c>
    </row>
    <row r="714" spans="1:17" x14ac:dyDescent="0.35">
      <c r="A714" s="2" t="s">
        <v>2050</v>
      </c>
      <c r="B714" s="2" t="s">
        <v>1677</v>
      </c>
      <c r="C714" s="2" t="s">
        <v>11</v>
      </c>
      <c r="D714" s="2" t="s">
        <v>66</v>
      </c>
      <c r="E714" s="2" t="s">
        <v>46</v>
      </c>
      <c r="F714" s="2">
        <v>35</v>
      </c>
      <c r="G714" s="2" t="s">
        <v>78</v>
      </c>
      <c r="H714" s="3" t="s">
        <v>2051</v>
      </c>
      <c r="I714" s="3" t="s">
        <v>2052</v>
      </c>
      <c r="J714" s="2" t="s">
        <v>6</v>
      </c>
      <c r="K714" s="2">
        <v>110720</v>
      </c>
      <c r="L714" s="2">
        <v>1</v>
      </c>
      <c r="M714" s="2">
        <v>2</v>
      </c>
      <c r="N714" s="2" t="s">
        <v>8</v>
      </c>
      <c r="O714" s="2">
        <v>26</v>
      </c>
      <c r="P714" s="2">
        <f ca="1">ROUND((IF(I714="",TODAY(),I714)-H714)/365,1)</f>
        <v>2.6</v>
      </c>
      <c r="Q714" s="2" t="str">
        <f t="shared" si="11"/>
        <v>N/A</v>
      </c>
    </row>
    <row r="715" spans="1:17" x14ac:dyDescent="0.35">
      <c r="A715" s="2" t="s">
        <v>2053</v>
      </c>
      <c r="B715" s="2" t="s">
        <v>1727</v>
      </c>
      <c r="C715" s="2" t="s">
        <v>10</v>
      </c>
      <c r="D715" s="2" t="s">
        <v>111</v>
      </c>
      <c r="E715" s="2" t="s">
        <v>31</v>
      </c>
      <c r="F715" s="2">
        <v>45</v>
      </c>
      <c r="G715" s="2" t="s">
        <v>56</v>
      </c>
      <c r="H715" s="3" t="s">
        <v>486</v>
      </c>
      <c r="I715" s="2"/>
      <c r="J715" s="2" t="s">
        <v>8</v>
      </c>
      <c r="K715" s="2">
        <v>125603</v>
      </c>
      <c r="L715" s="2">
        <v>4</v>
      </c>
      <c r="M715" s="2">
        <v>2</v>
      </c>
      <c r="N715" s="2" t="s">
        <v>6</v>
      </c>
      <c r="O715" s="2">
        <v>20</v>
      </c>
      <c r="P715" s="2">
        <f ca="1">ROUND((IF(I715="",TODAY(),I715)-H715)/365,1)</f>
        <v>11.1</v>
      </c>
      <c r="Q715" s="2" t="str">
        <f t="shared" si="11"/>
        <v>High</v>
      </c>
    </row>
    <row r="716" spans="1:17" x14ac:dyDescent="0.35">
      <c r="A716" s="2" t="s">
        <v>2054</v>
      </c>
      <c r="B716" s="2" t="s">
        <v>1428</v>
      </c>
      <c r="C716" s="2" t="s">
        <v>5</v>
      </c>
      <c r="D716" s="2" t="s">
        <v>102</v>
      </c>
      <c r="E716" s="2" t="s">
        <v>31</v>
      </c>
      <c r="F716" s="2">
        <v>42</v>
      </c>
      <c r="G716" s="2" t="s">
        <v>56</v>
      </c>
      <c r="H716" s="3" t="s">
        <v>368</v>
      </c>
      <c r="I716" s="3" t="s">
        <v>2055</v>
      </c>
      <c r="J716" s="2" t="s">
        <v>6</v>
      </c>
      <c r="K716" s="2">
        <v>108277</v>
      </c>
      <c r="L716" s="2">
        <v>3</v>
      </c>
      <c r="M716" s="2">
        <v>2</v>
      </c>
      <c r="N716" s="2" t="s">
        <v>8</v>
      </c>
      <c r="O716" s="2">
        <v>12</v>
      </c>
      <c r="P716" s="2">
        <f ca="1">ROUND((IF(I716="",TODAY(),I716)-H716)/365,1)</f>
        <v>3.9</v>
      </c>
      <c r="Q716" s="2" t="str">
        <f t="shared" si="11"/>
        <v>N/A</v>
      </c>
    </row>
    <row r="717" spans="1:17" x14ac:dyDescent="0.35">
      <c r="A717" s="2" t="s">
        <v>2056</v>
      </c>
      <c r="B717" s="2" t="s">
        <v>742</v>
      </c>
      <c r="C717" s="2" t="s">
        <v>10</v>
      </c>
      <c r="D717" s="2" t="s">
        <v>111</v>
      </c>
      <c r="E717" s="2" t="s">
        <v>46</v>
      </c>
      <c r="F717" s="2">
        <v>50</v>
      </c>
      <c r="G717" s="2" t="s">
        <v>32</v>
      </c>
      <c r="H717" s="3" t="s">
        <v>152</v>
      </c>
      <c r="I717" s="3" t="s">
        <v>2057</v>
      </c>
      <c r="J717" s="2" t="s">
        <v>6</v>
      </c>
      <c r="K717" s="2">
        <v>117357</v>
      </c>
      <c r="L717" s="2">
        <v>5</v>
      </c>
      <c r="M717" s="2">
        <v>2</v>
      </c>
      <c r="N717" s="2" t="s">
        <v>8</v>
      </c>
      <c r="O717" s="2">
        <v>38</v>
      </c>
      <c r="P717" s="2">
        <f ca="1">ROUND((IF(I717="",TODAY(),I717)-H717)/365,1)</f>
        <v>7.1</v>
      </c>
      <c r="Q717" s="2" t="str">
        <f t="shared" si="11"/>
        <v>N/A</v>
      </c>
    </row>
    <row r="718" spans="1:17" x14ac:dyDescent="0.35">
      <c r="A718" s="2" t="s">
        <v>2058</v>
      </c>
      <c r="B718" s="2" t="s">
        <v>2059</v>
      </c>
      <c r="C718" s="2" t="s">
        <v>5</v>
      </c>
      <c r="D718" s="2" t="s">
        <v>207</v>
      </c>
      <c r="E718" s="2" t="s">
        <v>31</v>
      </c>
      <c r="F718" s="2">
        <v>27</v>
      </c>
      <c r="G718" s="2" t="s">
        <v>78</v>
      </c>
      <c r="H718" s="3" t="s">
        <v>2060</v>
      </c>
      <c r="I718" s="3" t="s">
        <v>2061</v>
      </c>
      <c r="J718" s="2" t="s">
        <v>6</v>
      </c>
      <c r="K718" s="2">
        <v>44879</v>
      </c>
      <c r="L718" s="2">
        <v>3</v>
      </c>
      <c r="M718" s="2">
        <v>4</v>
      </c>
      <c r="N718" s="2" t="s">
        <v>6</v>
      </c>
      <c r="O718" s="2">
        <v>13</v>
      </c>
      <c r="P718" s="2">
        <f ca="1">ROUND((IF(I718="",TODAY(),I718)-H718)/365,1)</f>
        <v>0.6</v>
      </c>
      <c r="Q718" s="2" t="str">
        <f t="shared" si="11"/>
        <v>N/A</v>
      </c>
    </row>
    <row r="719" spans="1:17" x14ac:dyDescent="0.35">
      <c r="A719" s="2" t="s">
        <v>2062</v>
      </c>
      <c r="B719" s="2" t="s">
        <v>1606</v>
      </c>
      <c r="C719" s="2" t="s">
        <v>7</v>
      </c>
      <c r="D719" s="2" t="s">
        <v>37</v>
      </c>
      <c r="E719" s="2" t="s">
        <v>46</v>
      </c>
      <c r="F719" s="2">
        <v>39</v>
      </c>
      <c r="G719" s="2" t="s">
        <v>78</v>
      </c>
      <c r="H719" s="3" t="s">
        <v>2063</v>
      </c>
      <c r="I719" s="2"/>
      <c r="J719" s="2" t="s">
        <v>8</v>
      </c>
      <c r="K719" s="2">
        <v>109940</v>
      </c>
      <c r="L719" s="2">
        <v>5</v>
      </c>
      <c r="M719" s="2">
        <v>1</v>
      </c>
      <c r="N719" s="2" t="s">
        <v>8</v>
      </c>
      <c r="O719" s="2">
        <v>27</v>
      </c>
      <c r="P719" s="2">
        <f ca="1">ROUND((IF(I719="",TODAY(),I719)-H719)/365,1)</f>
        <v>8</v>
      </c>
      <c r="Q719" s="2" t="str">
        <f t="shared" si="11"/>
        <v>Medium</v>
      </c>
    </row>
    <row r="720" spans="1:17" x14ac:dyDescent="0.35">
      <c r="A720" s="2" t="s">
        <v>2064</v>
      </c>
      <c r="B720" s="2" t="s">
        <v>223</v>
      </c>
      <c r="C720" s="2" t="s">
        <v>7</v>
      </c>
      <c r="D720" s="2" t="s">
        <v>37</v>
      </c>
      <c r="E720" s="2" t="s">
        <v>46</v>
      </c>
      <c r="F720" s="2">
        <v>35</v>
      </c>
      <c r="G720" s="2" t="s">
        <v>78</v>
      </c>
      <c r="H720" s="3" t="s">
        <v>79</v>
      </c>
      <c r="I720" s="2"/>
      <c r="J720" s="2" t="s">
        <v>8</v>
      </c>
      <c r="K720" s="2">
        <v>139387</v>
      </c>
      <c r="L720" s="2">
        <v>2</v>
      </c>
      <c r="M720" s="2">
        <v>2</v>
      </c>
      <c r="N720" s="2" t="s">
        <v>6</v>
      </c>
      <c r="O720" s="2">
        <v>39</v>
      </c>
      <c r="P720" s="2">
        <f ca="1">ROUND((IF(I720="",TODAY(),I720)-H720)/365,1)</f>
        <v>5.6</v>
      </c>
      <c r="Q720" s="2" t="str">
        <f t="shared" si="11"/>
        <v>High</v>
      </c>
    </row>
    <row r="721" spans="1:17" x14ac:dyDescent="0.35">
      <c r="A721" s="2" t="s">
        <v>2065</v>
      </c>
      <c r="B721" s="2" t="s">
        <v>303</v>
      </c>
      <c r="C721" s="2" t="s">
        <v>7</v>
      </c>
      <c r="D721" s="2" t="s">
        <v>125</v>
      </c>
      <c r="E721" s="2" t="s">
        <v>31</v>
      </c>
      <c r="F721" s="2">
        <v>26</v>
      </c>
      <c r="G721" s="2" t="s">
        <v>32</v>
      </c>
      <c r="H721" s="3" t="s">
        <v>2066</v>
      </c>
      <c r="I721" s="2"/>
      <c r="J721" s="2" t="s">
        <v>8</v>
      </c>
      <c r="K721" s="2">
        <v>37027</v>
      </c>
      <c r="L721" s="2">
        <v>2</v>
      </c>
      <c r="M721" s="2">
        <v>2</v>
      </c>
      <c r="N721" s="2" t="s">
        <v>6</v>
      </c>
      <c r="O721" s="2">
        <v>9</v>
      </c>
      <c r="P721" s="2">
        <f ca="1">ROUND((IF(I721="",TODAY(),I721)-H721)/365,1)</f>
        <v>9.5</v>
      </c>
      <c r="Q721" s="2" t="str">
        <f t="shared" si="11"/>
        <v>High</v>
      </c>
    </row>
    <row r="722" spans="1:17" x14ac:dyDescent="0.35">
      <c r="A722" s="2" t="s">
        <v>2067</v>
      </c>
      <c r="B722" s="2" t="s">
        <v>374</v>
      </c>
      <c r="C722" s="2" t="s">
        <v>7</v>
      </c>
      <c r="D722" s="2" t="s">
        <v>155</v>
      </c>
      <c r="E722" s="2" t="s">
        <v>31</v>
      </c>
      <c r="F722" s="2">
        <v>41</v>
      </c>
      <c r="G722" s="2" t="s">
        <v>32</v>
      </c>
      <c r="H722" s="3" t="s">
        <v>2068</v>
      </c>
      <c r="I722" s="3" t="s">
        <v>2069</v>
      </c>
      <c r="J722" s="2" t="s">
        <v>6</v>
      </c>
      <c r="K722" s="2">
        <v>104410</v>
      </c>
      <c r="L722" s="2">
        <v>4</v>
      </c>
      <c r="M722" s="2">
        <v>2</v>
      </c>
      <c r="N722" s="2" t="s">
        <v>8</v>
      </c>
      <c r="O722" s="2">
        <v>12</v>
      </c>
      <c r="P722" s="2">
        <f ca="1">ROUND((IF(I722="",TODAY(),I722)-H722)/365,1)</f>
        <v>6.6</v>
      </c>
      <c r="Q722" s="2" t="str">
        <f t="shared" si="11"/>
        <v>N/A</v>
      </c>
    </row>
    <row r="723" spans="1:17" x14ac:dyDescent="0.35">
      <c r="A723" s="2" t="s">
        <v>2070</v>
      </c>
      <c r="B723" s="2" t="s">
        <v>2071</v>
      </c>
      <c r="C723" s="2" t="s">
        <v>10</v>
      </c>
      <c r="D723" s="2" t="s">
        <v>70</v>
      </c>
      <c r="E723" s="2" t="s">
        <v>31</v>
      </c>
      <c r="F723" s="2">
        <v>27</v>
      </c>
      <c r="G723" s="2" t="s">
        <v>56</v>
      </c>
      <c r="H723" s="3" t="s">
        <v>2072</v>
      </c>
      <c r="I723" s="2"/>
      <c r="J723" s="2" t="s">
        <v>8</v>
      </c>
      <c r="K723" s="2">
        <v>80403</v>
      </c>
      <c r="L723" s="2">
        <v>4</v>
      </c>
      <c r="M723" s="2">
        <v>2</v>
      </c>
      <c r="N723" s="2" t="s">
        <v>8</v>
      </c>
      <c r="O723" s="2">
        <v>29</v>
      </c>
      <c r="P723" s="2">
        <f ca="1">ROUND((IF(I723="",TODAY(),I723)-H723)/365,1)</f>
        <v>7.6</v>
      </c>
      <c r="Q723" s="2" t="str">
        <f t="shared" si="11"/>
        <v>Medium</v>
      </c>
    </row>
    <row r="724" spans="1:17" x14ac:dyDescent="0.35">
      <c r="A724" s="2" t="s">
        <v>2073</v>
      </c>
      <c r="B724" s="2" t="s">
        <v>323</v>
      </c>
      <c r="C724" s="2" t="s">
        <v>10</v>
      </c>
      <c r="D724" s="2" t="s">
        <v>111</v>
      </c>
      <c r="E724" s="2" t="s">
        <v>46</v>
      </c>
      <c r="F724" s="2">
        <v>49</v>
      </c>
      <c r="G724" s="2" t="s">
        <v>56</v>
      </c>
      <c r="H724" s="3" t="s">
        <v>2074</v>
      </c>
      <c r="I724" s="2"/>
      <c r="J724" s="2" t="s">
        <v>8</v>
      </c>
      <c r="K724" s="2">
        <v>45027</v>
      </c>
      <c r="L724" s="2">
        <v>5</v>
      </c>
      <c r="M724" s="2">
        <v>3</v>
      </c>
      <c r="N724" s="2" t="s">
        <v>6</v>
      </c>
      <c r="O724" s="2">
        <v>35</v>
      </c>
      <c r="P724" s="2">
        <f ca="1">ROUND((IF(I724="",TODAY(),I724)-H724)/365,1)</f>
        <v>2</v>
      </c>
      <c r="Q724" s="2" t="str">
        <f t="shared" si="11"/>
        <v>Medium</v>
      </c>
    </row>
    <row r="725" spans="1:17" x14ac:dyDescent="0.35">
      <c r="A725" s="2" t="s">
        <v>2075</v>
      </c>
      <c r="B725" s="2" t="s">
        <v>2076</v>
      </c>
      <c r="C725" s="2" t="s">
        <v>9</v>
      </c>
      <c r="D725" s="2" t="s">
        <v>41</v>
      </c>
      <c r="E725" s="2" t="s">
        <v>46</v>
      </c>
      <c r="F725" s="2">
        <v>40</v>
      </c>
      <c r="G725" s="2" t="s">
        <v>56</v>
      </c>
      <c r="H725" s="3" t="s">
        <v>2077</v>
      </c>
      <c r="I725" s="2"/>
      <c r="J725" s="2" t="s">
        <v>8</v>
      </c>
      <c r="K725" s="2">
        <v>42911</v>
      </c>
      <c r="L725" s="2">
        <v>1</v>
      </c>
      <c r="M725" s="2">
        <v>4</v>
      </c>
      <c r="N725" s="2" t="s">
        <v>8</v>
      </c>
      <c r="O725" s="2">
        <v>22</v>
      </c>
      <c r="P725" s="2">
        <f ca="1">ROUND((IF(I725="",TODAY(),I725)-H725)/365,1)</f>
        <v>7.4</v>
      </c>
      <c r="Q725" s="2" t="str">
        <f t="shared" si="11"/>
        <v>Low</v>
      </c>
    </row>
    <row r="726" spans="1:17" x14ac:dyDescent="0.35">
      <c r="A726" s="2" t="s">
        <v>2078</v>
      </c>
      <c r="B726" s="2" t="s">
        <v>1118</v>
      </c>
      <c r="C726" s="2" t="s">
        <v>7</v>
      </c>
      <c r="D726" s="2" t="s">
        <v>155</v>
      </c>
      <c r="E726" s="2" t="s">
        <v>31</v>
      </c>
      <c r="F726" s="2">
        <v>45</v>
      </c>
      <c r="G726" s="2" t="s">
        <v>78</v>
      </c>
      <c r="H726" s="3" t="s">
        <v>2079</v>
      </c>
      <c r="I726" s="2"/>
      <c r="J726" s="2" t="s">
        <v>8</v>
      </c>
      <c r="K726" s="2">
        <v>75336</v>
      </c>
      <c r="L726" s="2">
        <v>4</v>
      </c>
      <c r="M726" s="2">
        <v>4</v>
      </c>
      <c r="N726" s="2" t="s">
        <v>8</v>
      </c>
      <c r="O726" s="2">
        <v>24</v>
      </c>
      <c r="P726" s="2">
        <f ca="1">ROUND((IF(I726="",TODAY(),I726)-H726)/365,1)</f>
        <v>6.1</v>
      </c>
      <c r="Q726" s="2" t="str">
        <f t="shared" si="11"/>
        <v>Low</v>
      </c>
    </row>
    <row r="727" spans="1:17" x14ac:dyDescent="0.35">
      <c r="A727" s="2" t="s">
        <v>2080</v>
      </c>
      <c r="B727" s="2" t="s">
        <v>2081</v>
      </c>
      <c r="C727" s="2" t="s">
        <v>11</v>
      </c>
      <c r="D727" s="2" t="s">
        <v>45</v>
      </c>
      <c r="E727" s="2" t="s">
        <v>46</v>
      </c>
      <c r="F727" s="2">
        <v>46</v>
      </c>
      <c r="G727" s="2" t="s">
        <v>56</v>
      </c>
      <c r="H727" s="3" t="s">
        <v>2082</v>
      </c>
      <c r="I727" s="2"/>
      <c r="J727" s="2" t="s">
        <v>8</v>
      </c>
      <c r="K727" s="2">
        <v>126091</v>
      </c>
      <c r="L727" s="2">
        <v>4</v>
      </c>
      <c r="M727" s="2">
        <v>2</v>
      </c>
      <c r="N727" s="2" t="s">
        <v>8</v>
      </c>
      <c r="O727" s="2">
        <v>17</v>
      </c>
      <c r="P727" s="2">
        <f ca="1">ROUND((IF(I727="",TODAY(),I727)-H727)/365,1)</f>
        <v>1.2</v>
      </c>
      <c r="Q727" s="2" t="str">
        <f t="shared" si="11"/>
        <v>Medium</v>
      </c>
    </row>
    <row r="728" spans="1:17" x14ac:dyDescent="0.35">
      <c r="A728" s="2" t="s">
        <v>2083</v>
      </c>
      <c r="B728" s="2" t="s">
        <v>461</v>
      </c>
      <c r="C728" s="2" t="s">
        <v>12</v>
      </c>
      <c r="D728" s="2" t="s">
        <v>133</v>
      </c>
      <c r="E728" s="2" t="s">
        <v>46</v>
      </c>
      <c r="F728" s="2">
        <v>49</v>
      </c>
      <c r="G728" s="2" t="s">
        <v>56</v>
      </c>
      <c r="H728" s="3" t="s">
        <v>1579</v>
      </c>
      <c r="I728" s="2"/>
      <c r="J728" s="2" t="s">
        <v>8</v>
      </c>
      <c r="K728" s="2">
        <v>107700</v>
      </c>
      <c r="L728" s="2">
        <v>1</v>
      </c>
      <c r="M728" s="2">
        <v>4</v>
      </c>
      <c r="N728" s="2" t="s">
        <v>6</v>
      </c>
      <c r="O728" s="2">
        <v>24</v>
      </c>
      <c r="P728" s="2">
        <f ca="1">ROUND((IF(I728="",TODAY(),I728)-H728)/365,1)</f>
        <v>3.4</v>
      </c>
      <c r="Q728" s="2" t="str">
        <f t="shared" si="11"/>
        <v>Medium</v>
      </c>
    </row>
    <row r="729" spans="1:17" x14ac:dyDescent="0.35">
      <c r="A729" s="2" t="s">
        <v>2084</v>
      </c>
      <c r="B729" s="2" t="s">
        <v>1727</v>
      </c>
      <c r="C729" s="2" t="s">
        <v>12</v>
      </c>
      <c r="D729" s="2" t="s">
        <v>55</v>
      </c>
      <c r="E729" s="2" t="s">
        <v>31</v>
      </c>
      <c r="F729" s="2">
        <v>51</v>
      </c>
      <c r="G729" s="2" t="s">
        <v>56</v>
      </c>
      <c r="H729" s="3" t="s">
        <v>2085</v>
      </c>
      <c r="I729" s="2"/>
      <c r="J729" s="2" t="s">
        <v>8</v>
      </c>
      <c r="K729" s="2">
        <v>149751</v>
      </c>
      <c r="L729" s="2">
        <v>5</v>
      </c>
      <c r="M729" s="2">
        <v>2</v>
      </c>
      <c r="N729" s="2" t="s">
        <v>6</v>
      </c>
      <c r="O729" s="2">
        <v>38</v>
      </c>
      <c r="P729" s="2">
        <f ca="1">ROUND((IF(I729="",TODAY(),I729)-H729)/365,1)</f>
        <v>4</v>
      </c>
      <c r="Q729" s="2" t="str">
        <f t="shared" si="11"/>
        <v>High</v>
      </c>
    </row>
    <row r="730" spans="1:17" x14ac:dyDescent="0.35">
      <c r="A730" s="2" t="s">
        <v>2086</v>
      </c>
      <c r="B730" s="2" t="s">
        <v>69</v>
      </c>
      <c r="C730" s="2" t="s">
        <v>5</v>
      </c>
      <c r="D730" s="2" t="s">
        <v>94</v>
      </c>
      <c r="E730" s="2" t="s">
        <v>31</v>
      </c>
      <c r="F730" s="2">
        <v>27</v>
      </c>
      <c r="G730" s="2" t="s">
        <v>56</v>
      </c>
      <c r="H730" s="3" t="s">
        <v>2087</v>
      </c>
      <c r="I730" s="2"/>
      <c r="J730" s="2" t="s">
        <v>8</v>
      </c>
      <c r="K730" s="2">
        <v>58144</v>
      </c>
      <c r="L730" s="2">
        <v>2</v>
      </c>
      <c r="M730" s="2">
        <v>4</v>
      </c>
      <c r="N730" s="2" t="s">
        <v>8</v>
      </c>
      <c r="O730" s="2">
        <v>28</v>
      </c>
      <c r="P730" s="2">
        <f ca="1">ROUND((IF(I730="",TODAY(),I730)-H730)/365,1)</f>
        <v>5.8</v>
      </c>
      <c r="Q730" s="2" t="str">
        <f t="shared" si="11"/>
        <v>Low</v>
      </c>
    </row>
    <row r="731" spans="1:17" x14ac:dyDescent="0.35">
      <c r="A731" s="2" t="s">
        <v>2088</v>
      </c>
      <c r="B731" s="2" t="s">
        <v>2089</v>
      </c>
      <c r="C731" s="2" t="s">
        <v>11</v>
      </c>
      <c r="D731" s="2" t="s">
        <v>98</v>
      </c>
      <c r="E731" s="2" t="s">
        <v>46</v>
      </c>
      <c r="F731" s="2">
        <v>48</v>
      </c>
      <c r="G731" s="2" t="s">
        <v>78</v>
      </c>
      <c r="H731" s="3" t="s">
        <v>1722</v>
      </c>
      <c r="I731" s="2"/>
      <c r="J731" s="2" t="s">
        <v>8</v>
      </c>
      <c r="K731" s="2">
        <v>100053</v>
      </c>
      <c r="L731" s="2">
        <v>1</v>
      </c>
      <c r="M731" s="2">
        <v>1</v>
      </c>
      <c r="N731" s="2" t="s">
        <v>8</v>
      </c>
      <c r="O731" s="2">
        <v>41</v>
      </c>
      <c r="P731" s="2">
        <f ca="1">ROUND((IF(I731="",TODAY(),I731)-H731)/365,1)</f>
        <v>3.2</v>
      </c>
      <c r="Q731" s="2" t="str">
        <f t="shared" si="11"/>
        <v>Medium</v>
      </c>
    </row>
    <row r="732" spans="1:17" x14ac:dyDescent="0.35">
      <c r="A732" s="2" t="s">
        <v>2090</v>
      </c>
      <c r="B732" s="2" t="s">
        <v>1626</v>
      </c>
      <c r="C732" s="2" t="s">
        <v>9</v>
      </c>
      <c r="D732" s="2" t="s">
        <v>77</v>
      </c>
      <c r="E732" s="2" t="s">
        <v>31</v>
      </c>
      <c r="F732" s="2">
        <v>22</v>
      </c>
      <c r="G732" s="2" t="s">
        <v>56</v>
      </c>
      <c r="H732" s="3" t="s">
        <v>2091</v>
      </c>
      <c r="I732" s="2"/>
      <c r="J732" s="2" t="s">
        <v>8</v>
      </c>
      <c r="K732" s="2">
        <v>126416</v>
      </c>
      <c r="L732" s="2">
        <v>1</v>
      </c>
      <c r="M732" s="2">
        <v>1</v>
      </c>
      <c r="N732" s="2" t="s">
        <v>8</v>
      </c>
      <c r="O732" s="2">
        <v>5</v>
      </c>
      <c r="P732" s="2">
        <f ca="1">ROUND((IF(I732="",TODAY(),I732)-H732)/365,1)</f>
        <v>9.6999999999999993</v>
      </c>
      <c r="Q732" s="2" t="str">
        <f t="shared" si="11"/>
        <v>Medium</v>
      </c>
    </row>
    <row r="733" spans="1:17" x14ac:dyDescent="0.35">
      <c r="A733" s="2" t="s">
        <v>2092</v>
      </c>
      <c r="B733" s="2" t="s">
        <v>753</v>
      </c>
      <c r="C733" s="2" t="s">
        <v>10</v>
      </c>
      <c r="D733" s="2" t="s">
        <v>70</v>
      </c>
      <c r="E733" s="2" t="s">
        <v>46</v>
      </c>
      <c r="F733" s="2">
        <v>33</v>
      </c>
      <c r="G733" s="2" t="s">
        <v>56</v>
      </c>
      <c r="H733" s="3" t="s">
        <v>2093</v>
      </c>
      <c r="I733" s="2"/>
      <c r="J733" s="2" t="s">
        <v>8</v>
      </c>
      <c r="K733" s="2">
        <v>48853</v>
      </c>
      <c r="L733" s="2">
        <v>2</v>
      </c>
      <c r="M733" s="2">
        <v>2</v>
      </c>
      <c r="N733" s="2" t="s">
        <v>6</v>
      </c>
      <c r="O733" s="2">
        <v>32</v>
      </c>
      <c r="P733" s="2">
        <f ca="1">ROUND((IF(I733="",TODAY(),I733)-H733)/365,1)</f>
        <v>7.4</v>
      </c>
      <c r="Q733" s="2" t="str">
        <f t="shared" si="11"/>
        <v>High</v>
      </c>
    </row>
    <row r="734" spans="1:17" x14ac:dyDescent="0.35">
      <c r="A734" s="2" t="s">
        <v>2094</v>
      </c>
      <c r="B734" s="2" t="s">
        <v>946</v>
      </c>
      <c r="C734" s="2" t="s">
        <v>10</v>
      </c>
      <c r="D734" s="2" t="s">
        <v>70</v>
      </c>
      <c r="E734" s="2" t="s">
        <v>31</v>
      </c>
      <c r="F734" s="2">
        <v>25</v>
      </c>
      <c r="G734" s="2" t="s">
        <v>56</v>
      </c>
      <c r="H734" s="3" t="s">
        <v>2095</v>
      </c>
      <c r="I734" s="2"/>
      <c r="J734" s="2" t="s">
        <v>8</v>
      </c>
      <c r="K734" s="2">
        <v>82767</v>
      </c>
      <c r="L734" s="2">
        <v>3</v>
      </c>
      <c r="M734" s="2">
        <v>2</v>
      </c>
      <c r="N734" s="2" t="s">
        <v>6</v>
      </c>
      <c r="O734" s="2">
        <v>27</v>
      </c>
      <c r="P734" s="2">
        <f ca="1">ROUND((IF(I734="",TODAY(),I734)-H734)/365,1)</f>
        <v>3.2</v>
      </c>
      <c r="Q734" s="2" t="str">
        <f t="shared" si="11"/>
        <v>High</v>
      </c>
    </row>
    <row r="735" spans="1:17" x14ac:dyDescent="0.35">
      <c r="A735" s="2" t="s">
        <v>2096</v>
      </c>
      <c r="B735" s="2" t="s">
        <v>2097</v>
      </c>
      <c r="C735" s="2" t="s">
        <v>5</v>
      </c>
      <c r="D735" s="2" t="s">
        <v>102</v>
      </c>
      <c r="E735" s="2" t="s">
        <v>31</v>
      </c>
      <c r="F735" s="2">
        <v>27</v>
      </c>
      <c r="G735" s="2" t="s">
        <v>32</v>
      </c>
      <c r="H735" s="3" t="s">
        <v>2098</v>
      </c>
      <c r="I735" s="2"/>
      <c r="J735" s="2" t="s">
        <v>8</v>
      </c>
      <c r="K735" s="2">
        <v>101761</v>
      </c>
      <c r="L735" s="2">
        <v>3</v>
      </c>
      <c r="M735" s="2">
        <v>1</v>
      </c>
      <c r="N735" s="2" t="s">
        <v>6</v>
      </c>
      <c r="O735" s="2">
        <v>2</v>
      </c>
      <c r="P735" s="2">
        <f ca="1">ROUND((IF(I735="",TODAY(),I735)-H735)/365,1)</f>
        <v>7.4</v>
      </c>
      <c r="Q735" s="2" t="str">
        <f t="shared" si="11"/>
        <v>High</v>
      </c>
    </row>
    <row r="736" spans="1:17" x14ac:dyDescent="0.35">
      <c r="A736" s="2" t="s">
        <v>2099</v>
      </c>
      <c r="B736" s="2" t="s">
        <v>2100</v>
      </c>
      <c r="C736" s="2" t="s">
        <v>12</v>
      </c>
      <c r="D736" s="2" t="s">
        <v>30</v>
      </c>
      <c r="E736" s="2" t="s">
        <v>31</v>
      </c>
      <c r="F736" s="2">
        <v>22</v>
      </c>
      <c r="G736" s="2" t="s">
        <v>32</v>
      </c>
      <c r="H736" s="3" t="s">
        <v>2101</v>
      </c>
      <c r="I736" s="2"/>
      <c r="J736" s="2" t="s">
        <v>8</v>
      </c>
      <c r="K736" s="2">
        <v>93463</v>
      </c>
      <c r="L736" s="2">
        <v>1</v>
      </c>
      <c r="M736" s="2">
        <v>1</v>
      </c>
      <c r="N736" s="2" t="s">
        <v>8</v>
      </c>
      <c r="O736" s="2">
        <v>14</v>
      </c>
      <c r="P736" s="2">
        <f ca="1">ROUND((IF(I736="",TODAY(),I736)-H736)/365,1)</f>
        <v>4.0999999999999996</v>
      </c>
      <c r="Q736" s="2" t="str">
        <f t="shared" si="11"/>
        <v>Medium</v>
      </c>
    </row>
    <row r="737" spans="1:17" x14ac:dyDescent="0.35">
      <c r="A737" s="2" t="s">
        <v>2102</v>
      </c>
      <c r="B737" s="2" t="s">
        <v>2103</v>
      </c>
      <c r="C737" s="2" t="s">
        <v>11</v>
      </c>
      <c r="D737" s="2" t="s">
        <v>66</v>
      </c>
      <c r="E737" s="2" t="s">
        <v>46</v>
      </c>
      <c r="F737" s="2">
        <v>49</v>
      </c>
      <c r="G737" s="2" t="s">
        <v>78</v>
      </c>
      <c r="H737" s="3" t="s">
        <v>2104</v>
      </c>
      <c r="I737" s="2"/>
      <c r="J737" s="2" t="s">
        <v>8</v>
      </c>
      <c r="K737" s="2">
        <v>148337</v>
      </c>
      <c r="L737" s="2">
        <v>3</v>
      </c>
      <c r="M737" s="2">
        <v>3</v>
      </c>
      <c r="N737" s="2" t="s">
        <v>8</v>
      </c>
      <c r="O737" s="2">
        <v>16</v>
      </c>
      <c r="P737" s="2">
        <f ca="1">ROUND((IF(I737="",TODAY(),I737)-H737)/365,1)</f>
        <v>7.8</v>
      </c>
      <c r="Q737" s="2" t="str">
        <f t="shared" si="11"/>
        <v>Low</v>
      </c>
    </row>
    <row r="738" spans="1:17" x14ac:dyDescent="0.35">
      <c r="A738" s="2" t="s">
        <v>2105</v>
      </c>
      <c r="B738" s="2" t="s">
        <v>2106</v>
      </c>
      <c r="C738" s="2" t="s">
        <v>10</v>
      </c>
      <c r="D738" s="2" t="s">
        <v>70</v>
      </c>
      <c r="E738" s="2" t="s">
        <v>31</v>
      </c>
      <c r="F738" s="2">
        <v>28</v>
      </c>
      <c r="G738" s="2" t="s">
        <v>32</v>
      </c>
      <c r="H738" s="3" t="s">
        <v>2107</v>
      </c>
      <c r="I738" s="2"/>
      <c r="J738" s="2" t="s">
        <v>8</v>
      </c>
      <c r="K738" s="2">
        <v>103893</v>
      </c>
      <c r="L738" s="2">
        <v>2</v>
      </c>
      <c r="M738" s="2">
        <v>4</v>
      </c>
      <c r="N738" s="2" t="s">
        <v>8</v>
      </c>
      <c r="O738" s="2">
        <v>2</v>
      </c>
      <c r="P738" s="2">
        <f ca="1">ROUND((IF(I738="",TODAY(),I738)-H738)/365,1)</f>
        <v>11.6</v>
      </c>
      <c r="Q738" s="2" t="str">
        <f t="shared" si="11"/>
        <v>Low</v>
      </c>
    </row>
    <row r="739" spans="1:17" x14ac:dyDescent="0.35">
      <c r="A739" s="2" t="s">
        <v>2108</v>
      </c>
      <c r="B739" s="2" t="s">
        <v>2109</v>
      </c>
      <c r="C739" s="2" t="s">
        <v>9</v>
      </c>
      <c r="D739" s="2" t="s">
        <v>77</v>
      </c>
      <c r="E739" s="2" t="s">
        <v>31</v>
      </c>
      <c r="F739" s="2">
        <v>52</v>
      </c>
      <c r="G739" s="2" t="s">
        <v>78</v>
      </c>
      <c r="H739" s="3" t="s">
        <v>539</v>
      </c>
      <c r="I739" s="3" t="s">
        <v>2110</v>
      </c>
      <c r="J739" s="2" t="s">
        <v>6</v>
      </c>
      <c r="K739" s="2">
        <v>148461</v>
      </c>
      <c r="L739" s="2">
        <v>1</v>
      </c>
      <c r="M739" s="2">
        <v>2</v>
      </c>
      <c r="N739" s="2" t="s">
        <v>8</v>
      </c>
      <c r="O739" s="2">
        <v>41</v>
      </c>
      <c r="P739" s="2">
        <f ca="1">ROUND((IF(I739="",TODAY(),I739)-H739)/365,1)</f>
        <v>4.2</v>
      </c>
      <c r="Q739" s="2" t="str">
        <f t="shared" si="11"/>
        <v>N/A</v>
      </c>
    </row>
    <row r="740" spans="1:17" x14ac:dyDescent="0.35">
      <c r="A740" s="2" t="s">
        <v>2111</v>
      </c>
      <c r="B740" s="2" t="s">
        <v>2112</v>
      </c>
      <c r="C740" s="2" t="s">
        <v>5</v>
      </c>
      <c r="D740" s="2" t="s">
        <v>102</v>
      </c>
      <c r="E740" s="2" t="s">
        <v>46</v>
      </c>
      <c r="F740" s="2">
        <v>53</v>
      </c>
      <c r="G740" s="2" t="s">
        <v>78</v>
      </c>
      <c r="H740" s="3" t="s">
        <v>2113</v>
      </c>
      <c r="I740" s="2"/>
      <c r="J740" s="2" t="s">
        <v>8</v>
      </c>
      <c r="K740" s="2">
        <v>148087</v>
      </c>
      <c r="L740" s="2">
        <v>3</v>
      </c>
      <c r="M740" s="2">
        <v>1</v>
      </c>
      <c r="N740" s="2" t="s">
        <v>8</v>
      </c>
      <c r="O740" s="2">
        <v>28</v>
      </c>
      <c r="P740" s="2">
        <f ca="1">ROUND((IF(I740="",TODAY(),I740)-H740)/365,1)</f>
        <v>7.1</v>
      </c>
      <c r="Q740" s="2" t="str">
        <f t="shared" si="11"/>
        <v>Medium</v>
      </c>
    </row>
    <row r="741" spans="1:17" x14ac:dyDescent="0.35">
      <c r="A741" s="2" t="s">
        <v>2114</v>
      </c>
      <c r="B741" s="2" t="s">
        <v>1817</v>
      </c>
      <c r="C741" s="2" t="s">
        <v>12</v>
      </c>
      <c r="D741" s="2" t="s">
        <v>30</v>
      </c>
      <c r="E741" s="2" t="s">
        <v>46</v>
      </c>
      <c r="F741" s="2">
        <v>34</v>
      </c>
      <c r="G741" s="2" t="s">
        <v>32</v>
      </c>
      <c r="H741" s="3" t="s">
        <v>2115</v>
      </c>
      <c r="I741" s="2"/>
      <c r="J741" s="2" t="s">
        <v>8</v>
      </c>
      <c r="K741" s="2">
        <v>29160</v>
      </c>
      <c r="L741" s="2">
        <v>5</v>
      </c>
      <c r="M741" s="2">
        <v>5</v>
      </c>
      <c r="N741" s="2" t="s">
        <v>6</v>
      </c>
      <c r="O741" s="2">
        <v>33</v>
      </c>
      <c r="P741" s="2">
        <f ca="1">ROUND((IF(I741="",TODAY(),I741)-H741)/365,1)</f>
        <v>3.6</v>
      </c>
      <c r="Q741" s="2" t="str">
        <f t="shared" si="11"/>
        <v>Medium</v>
      </c>
    </row>
    <row r="742" spans="1:17" x14ac:dyDescent="0.35">
      <c r="A742" s="2" t="s">
        <v>2116</v>
      </c>
      <c r="B742" s="2" t="s">
        <v>141</v>
      </c>
      <c r="C742" s="2" t="s">
        <v>5</v>
      </c>
      <c r="D742" s="2" t="s">
        <v>207</v>
      </c>
      <c r="E742" s="2" t="s">
        <v>46</v>
      </c>
      <c r="F742" s="2">
        <v>29</v>
      </c>
      <c r="G742" s="2" t="s">
        <v>56</v>
      </c>
      <c r="H742" s="3" t="s">
        <v>2117</v>
      </c>
      <c r="I742" s="2"/>
      <c r="J742" s="2" t="s">
        <v>8</v>
      </c>
      <c r="K742" s="2">
        <v>47338</v>
      </c>
      <c r="L742" s="2">
        <v>2</v>
      </c>
      <c r="M742" s="2">
        <v>2</v>
      </c>
      <c r="N742" s="2" t="s">
        <v>8</v>
      </c>
      <c r="O742" s="2">
        <v>14</v>
      </c>
      <c r="P742" s="2">
        <f ca="1">ROUND((IF(I742="",TODAY(),I742)-H742)/365,1)</f>
        <v>6.2</v>
      </c>
      <c r="Q742" s="2" t="str">
        <f t="shared" si="11"/>
        <v>Medium</v>
      </c>
    </row>
    <row r="743" spans="1:17" x14ac:dyDescent="0.35">
      <c r="A743" s="2" t="s">
        <v>2118</v>
      </c>
      <c r="B743" s="2" t="s">
        <v>687</v>
      </c>
      <c r="C743" s="2" t="s">
        <v>5</v>
      </c>
      <c r="D743" s="2" t="s">
        <v>207</v>
      </c>
      <c r="E743" s="2" t="s">
        <v>31</v>
      </c>
      <c r="F743" s="2">
        <v>46</v>
      </c>
      <c r="G743" s="2" t="s">
        <v>56</v>
      </c>
      <c r="H743" s="3" t="s">
        <v>2119</v>
      </c>
      <c r="I743" s="3" t="s">
        <v>2120</v>
      </c>
      <c r="J743" s="2" t="s">
        <v>6</v>
      </c>
      <c r="K743" s="2">
        <v>41134</v>
      </c>
      <c r="L743" s="2">
        <v>4</v>
      </c>
      <c r="M743" s="2">
        <v>3</v>
      </c>
      <c r="N743" s="2" t="s">
        <v>6</v>
      </c>
      <c r="O743" s="2">
        <v>43</v>
      </c>
      <c r="P743" s="2">
        <f ca="1">ROUND((IF(I743="",TODAY(),I743)-H743)/365,1)</f>
        <v>2.9</v>
      </c>
      <c r="Q743" s="2" t="str">
        <f t="shared" si="11"/>
        <v>N/A</v>
      </c>
    </row>
    <row r="744" spans="1:17" x14ac:dyDescent="0.35">
      <c r="A744" s="2" t="s">
        <v>2121</v>
      </c>
      <c r="B744" s="2" t="s">
        <v>360</v>
      </c>
      <c r="C744" s="2" t="s">
        <v>5</v>
      </c>
      <c r="D744" s="2" t="s">
        <v>102</v>
      </c>
      <c r="E744" s="2" t="s">
        <v>46</v>
      </c>
      <c r="F744" s="2">
        <v>26</v>
      </c>
      <c r="G744" s="2" t="s">
        <v>32</v>
      </c>
      <c r="H744" s="3" t="s">
        <v>2122</v>
      </c>
      <c r="I744" s="3" t="s">
        <v>2123</v>
      </c>
      <c r="J744" s="2" t="s">
        <v>6</v>
      </c>
      <c r="K744" s="2">
        <v>130964</v>
      </c>
      <c r="L744" s="2">
        <v>5</v>
      </c>
      <c r="M744" s="2">
        <v>4</v>
      </c>
      <c r="N744" s="2" t="s">
        <v>6</v>
      </c>
      <c r="O744" s="2">
        <v>28</v>
      </c>
      <c r="P744" s="2">
        <f ca="1">ROUND((IF(I744="",TODAY(),I744)-H744)/365,1)</f>
        <v>0.8</v>
      </c>
      <c r="Q744" s="2" t="str">
        <f t="shared" si="11"/>
        <v>N/A</v>
      </c>
    </row>
    <row r="745" spans="1:17" x14ac:dyDescent="0.35">
      <c r="A745" s="2" t="s">
        <v>2124</v>
      </c>
      <c r="B745" s="2" t="s">
        <v>2125</v>
      </c>
      <c r="C745" s="2" t="s">
        <v>9</v>
      </c>
      <c r="D745" s="2" t="s">
        <v>51</v>
      </c>
      <c r="E745" s="2" t="s">
        <v>31</v>
      </c>
      <c r="F745" s="2">
        <v>34</v>
      </c>
      <c r="G745" s="2" t="s">
        <v>78</v>
      </c>
      <c r="H745" s="3" t="s">
        <v>2126</v>
      </c>
      <c r="I745" s="2"/>
      <c r="J745" s="2" t="s">
        <v>8</v>
      </c>
      <c r="K745" s="2">
        <v>136847</v>
      </c>
      <c r="L745" s="2">
        <v>3</v>
      </c>
      <c r="M745" s="2">
        <v>5</v>
      </c>
      <c r="N745" s="2" t="s">
        <v>8</v>
      </c>
      <c r="O745" s="2">
        <v>9</v>
      </c>
      <c r="P745" s="2">
        <f ca="1">ROUND((IF(I745="",TODAY(),I745)-H745)/365,1)</f>
        <v>3.3</v>
      </c>
      <c r="Q745" s="2" t="str">
        <f t="shared" si="11"/>
        <v>Low</v>
      </c>
    </row>
    <row r="746" spans="1:17" x14ac:dyDescent="0.35">
      <c r="A746" s="2" t="s">
        <v>2127</v>
      </c>
      <c r="B746" s="2" t="s">
        <v>582</v>
      </c>
      <c r="C746" s="2" t="s">
        <v>11</v>
      </c>
      <c r="D746" s="2" t="s">
        <v>98</v>
      </c>
      <c r="E746" s="2" t="s">
        <v>31</v>
      </c>
      <c r="F746" s="2">
        <v>56</v>
      </c>
      <c r="G746" s="2" t="s">
        <v>56</v>
      </c>
      <c r="H746" s="3" t="s">
        <v>2128</v>
      </c>
      <c r="I746" s="2"/>
      <c r="J746" s="2" t="s">
        <v>8</v>
      </c>
      <c r="K746" s="2">
        <v>129532</v>
      </c>
      <c r="L746" s="2">
        <v>3</v>
      </c>
      <c r="M746" s="2">
        <v>4</v>
      </c>
      <c r="N746" s="2" t="s">
        <v>8</v>
      </c>
      <c r="O746" s="2">
        <v>24</v>
      </c>
      <c r="P746" s="2">
        <f ca="1">ROUND((IF(I746="",TODAY(),I746)-H746)/365,1)</f>
        <v>9.5</v>
      </c>
      <c r="Q746" s="2" t="str">
        <f t="shared" si="11"/>
        <v>Low</v>
      </c>
    </row>
    <row r="747" spans="1:17" x14ac:dyDescent="0.35">
      <c r="A747" s="2" t="s">
        <v>2129</v>
      </c>
      <c r="B747" s="2" t="s">
        <v>50</v>
      </c>
      <c r="C747" s="2" t="s">
        <v>7</v>
      </c>
      <c r="D747" s="2" t="s">
        <v>37</v>
      </c>
      <c r="E747" s="2" t="s">
        <v>31</v>
      </c>
      <c r="F747" s="2">
        <v>22</v>
      </c>
      <c r="G747" s="2" t="s">
        <v>32</v>
      </c>
      <c r="H747" s="3" t="s">
        <v>2130</v>
      </c>
      <c r="I747" s="2"/>
      <c r="J747" s="2" t="s">
        <v>8</v>
      </c>
      <c r="K747" s="2">
        <v>134735</v>
      </c>
      <c r="L747" s="2">
        <v>2</v>
      </c>
      <c r="M747" s="2">
        <v>3</v>
      </c>
      <c r="N747" s="2" t="s">
        <v>8</v>
      </c>
      <c r="O747" s="2">
        <v>19</v>
      </c>
      <c r="P747" s="2">
        <f ca="1">ROUND((IF(I747="",TODAY(),I747)-H747)/365,1)</f>
        <v>5.6</v>
      </c>
      <c r="Q747" s="2" t="str">
        <f t="shared" si="11"/>
        <v>Low</v>
      </c>
    </row>
    <row r="748" spans="1:17" x14ac:dyDescent="0.35">
      <c r="A748" s="2" t="s">
        <v>2131</v>
      </c>
      <c r="B748" s="2" t="s">
        <v>481</v>
      </c>
      <c r="C748" s="2" t="s">
        <v>10</v>
      </c>
      <c r="D748" s="2" t="s">
        <v>111</v>
      </c>
      <c r="E748" s="2" t="s">
        <v>46</v>
      </c>
      <c r="F748" s="2">
        <v>42</v>
      </c>
      <c r="G748" s="2" t="s">
        <v>56</v>
      </c>
      <c r="H748" s="3" t="s">
        <v>2132</v>
      </c>
      <c r="I748" s="2"/>
      <c r="J748" s="2" t="s">
        <v>8</v>
      </c>
      <c r="K748" s="2">
        <v>87689</v>
      </c>
      <c r="L748" s="2">
        <v>3</v>
      </c>
      <c r="M748" s="2">
        <v>1</v>
      </c>
      <c r="N748" s="2" t="s">
        <v>8</v>
      </c>
      <c r="O748" s="2">
        <v>37</v>
      </c>
      <c r="P748" s="2">
        <f ca="1">ROUND((IF(I748="",TODAY(),I748)-H748)/365,1)</f>
        <v>8.1</v>
      </c>
      <c r="Q748" s="2" t="str">
        <f t="shared" si="11"/>
        <v>Medium</v>
      </c>
    </row>
    <row r="749" spans="1:17" x14ac:dyDescent="0.35">
      <c r="A749" s="2" t="s">
        <v>2133</v>
      </c>
      <c r="B749" s="2" t="s">
        <v>1826</v>
      </c>
      <c r="C749" s="2" t="s">
        <v>10</v>
      </c>
      <c r="D749" s="2" t="s">
        <v>258</v>
      </c>
      <c r="E749" s="2" t="s">
        <v>46</v>
      </c>
      <c r="F749" s="2">
        <v>31</v>
      </c>
      <c r="G749" s="2" t="s">
        <v>78</v>
      </c>
      <c r="H749" s="3" t="s">
        <v>1840</v>
      </c>
      <c r="I749" s="2"/>
      <c r="J749" s="2" t="s">
        <v>8</v>
      </c>
      <c r="K749" s="2">
        <v>137299</v>
      </c>
      <c r="L749" s="2">
        <v>1</v>
      </c>
      <c r="M749" s="2">
        <v>2</v>
      </c>
      <c r="N749" s="2" t="s">
        <v>8</v>
      </c>
      <c r="O749" s="2">
        <v>12</v>
      </c>
      <c r="P749" s="2">
        <f ca="1">ROUND((IF(I749="",TODAY(),I749)-H749)/365,1)</f>
        <v>2.2999999999999998</v>
      </c>
      <c r="Q749" s="2" t="str">
        <f t="shared" si="11"/>
        <v>Medium</v>
      </c>
    </row>
    <row r="750" spans="1:17" x14ac:dyDescent="0.35">
      <c r="A750" s="2" t="s">
        <v>2134</v>
      </c>
      <c r="B750" s="2" t="s">
        <v>2135</v>
      </c>
      <c r="C750" s="2" t="s">
        <v>9</v>
      </c>
      <c r="D750" s="2" t="s">
        <v>77</v>
      </c>
      <c r="E750" s="2" t="s">
        <v>31</v>
      </c>
      <c r="F750" s="2">
        <v>47</v>
      </c>
      <c r="G750" s="2" t="s">
        <v>32</v>
      </c>
      <c r="H750" s="3" t="s">
        <v>2136</v>
      </c>
      <c r="I750" s="2"/>
      <c r="J750" s="2" t="s">
        <v>8</v>
      </c>
      <c r="K750" s="2">
        <v>76257</v>
      </c>
      <c r="L750" s="2">
        <v>3</v>
      </c>
      <c r="M750" s="2">
        <v>4</v>
      </c>
      <c r="N750" s="2" t="s">
        <v>8</v>
      </c>
      <c r="O750" s="2">
        <v>26</v>
      </c>
      <c r="P750" s="2">
        <f ca="1">ROUND((IF(I750="",TODAY(),I750)-H750)/365,1)</f>
        <v>7.8</v>
      </c>
      <c r="Q750" s="2" t="str">
        <f t="shared" si="11"/>
        <v>Low</v>
      </c>
    </row>
    <row r="751" spans="1:17" x14ac:dyDescent="0.35">
      <c r="A751" s="2" t="s">
        <v>2137</v>
      </c>
      <c r="B751" s="2" t="s">
        <v>437</v>
      </c>
      <c r="C751" s="2" t="s">
        <v>9</v>
      </c>
      <c r="D751" s="2" t="s">
        <v>41</v>
      </c>
      <c r="E751" s="2" t="s">
        <v>31</v>
      </c>
      <c r="F751" s="2">
        <v>28</v>
      </c>
      <c r="G751" s="2" t="s">
        <v>56</v>
      </c>
      <c r="H751" s="3" t="s">
        <v>2138</v>
      </c>
      <c r="I751" s="3" t="s">
        <v>2139</v>
      </c>
      <c r="J751" s="2" t="s">
        <v>6</v>
      </c>
      <c r="K751" s="2">
        <v>84969</v>
      </c>
      <c r="L751" s="2">
        <v>1</v>
      </c>
      <c r="M751" s="2">
        <v>5</v>
      </c>
      <c r="N751" s="2" t="s">
        <v>6</v>
      </c>
      <c r="O751" s="2">
        <v>20</v>
      </c>
      <c r="P751" s="2">
        <f ca="1">ROUND((IF(I751="",TODAY(),I751)-H751)/365,1)</f>
        <v>1.7</v>
      </c>
      <c r="Q751" s="2" t="str">
        <f t="shared" si="11"/>
        <v>N/A</v>
      </c>
    </row>
    <row r="752" spans="1:17" x14ac:dyDescent="0.35">
      <c r="A752" s="2" t="s">
        <v>2140</v>
      </c>
      <c r="B752" s="2" t="s">
        <v>662</v>
      </c>
      <c r="C752" s="2" t="s">
        <v>10</v>
      </c>
      <c r="D752" s="2" t="s">
        <v>70</v>
      </c>
      <c r="E752" s="2" t="s">
        <v>46</v>
      </c>
      <c r="F752" s="2">
        <v>35</v>
      </c>
      <c r="G752" s="2" t="s">
        <v>56</v>
      </c>
      <c r="H752" s="3" t="s">
        <v>2141</v>
      </c>
      <c r="I752" s="3" t="s">
        <v>2142</v>
      </c>
      <c r="J752" s="2" t="s">
        <v>6</v>
      </c>
      <c r="K752" s="2">
        <v>120152</v>
      </c>
      <c r="L752" s="2">
        <v>1</v>
      </c>
      <c r="M752" s="2">
        <v>2</v>
      </c>
      <c r="N752" s="2" t="s">
        <v>8</v>
      </c>
      <c r="O752" s="2">
        <v>24</v>
      </c>
      <c r="P752" s="2">
        <f ca="1">ROUND((IF(I752="",TODAY(),I752)-H752)/365,1)</f>
        <v>9</v>
      </c>
      <c r="Q752" s="2" t="str">
        <f t="shared" si="11"/>
        <v>N/A</v>
      </c>
    </row>
    <row r="753" spans="1:17" x14ac:dyDescent="0.35">
      <c r="A753" s="2" t="s">
        <v>2143</v>
      </c>
      <c r="B753" s="2" t="s">
        <v>1637</v>
      </c>
      <c r="C753" s="2" t="s">
        <v>7</v>
      </c>
      <c r="D753" s="2" t="s">
        <v>125</v>
      </c>
      <c r="E753" s="2" t="s">
        <v>46</v>
      </c>
      <c r="F753" s="2">
        <v>28</v>
      </c>
      <c r="G753" s="2" t="s">
        <v>56</v>
      </c>
      <c r="H753" s="3" t="s">
        <v>2144</v>
      </c>
      <c r="I753" s="2"/>
      <c r="J753" s="2" t="s">
        <v>8</v>
      </c>
      <c r="K753" s="2">
        <v>92559</v>
      </c>
      <c r="L753" s="2">
        <v>1</v>
      </c>
      <c r="M753" s="2">
        <v>2</v>
      </c>
      <c r="N753" s="2" t="s">
        <v>8</v>
      </c>
      <c r="O753" s="2">
        <v>8</v>
      </c>
      <c r="P753" s="2">
        <f ca="1">ROUND((IF(I753="",TODAY(),I753)-H753)/365,1)</f>
        <v>7.6</v>
      </c>
      <c r="Q753" s="2" t="str">
        <f t="shared" si="11"/>
        <v>Medium</v>
      </c>
    </row>
    <row r="754" spans="1:17" x14ac:dyDescent="0.35">
      <c r="A754" s="2" t="s">
        <v>2145</v>
      </c>
      <c r="B754" s="2" t="s">
        <v>814</v>
      </c>
      <c r="C754" s="2" t="s">
        <v>10</v>
      </c>
      <c r="D754" s="2" t="s">
        <v>111</v>
      </c>
      <c r="E754" s="2" t="s">
        <v>46</v>
      </c>
      <c r="F754" s="2">
        <v>29</v>
      </c>
      <c r="G754" s="2" t="s">
        <v>56</v>
      </c>
      <c r="H754" s="3" t="s">
        <v>2146</v>
      </c>
      <c r="I754" s="2"/>
      <c r="J754" s="2" t="s">
        <v>8</v>
      </c>
      <c r="K754" s="2">
        <v>110563</v>
      </c>
      <c r="L754" s="2">
        <v>5</v>
      </c>
      <c r="M754" s="2">
        <v>3</v>
      </c>
      <c r="N754" s="2" t="s">
        <v>8</v>
      </c>
      <c r="O754" s="2">
        <v>12</v>
      </c>
      <c r="P754" s="2">
        <f ca="1">ROUND((IF(I754="",TODAY(),I754)-H754)/365,1)</f>
        <v>8.9</v>
      </c>
      <c r="Q754" s="2" t="str">
        <f t="shared" si="11"/>
        <v>Low</v>
      </c>
    </row>
    <row r="755" spans="1:17" x14ac:dyDescent="0.35">
      <c r="A755" s="2" t="s">
        <v>2147</v>
      </c>
      <c r="B755" s="2" t="s">
        <v>1957</v>
      </c>
      <c r="C755" s="2" t="s">
        <v>12</v>
      </c>
      <c r="D755" s="2" t="s">
        <v>55</v>
      </c>
      <c r="E755" s="2" t="s">
        <v>31</v>
      </c>
      <c r="F755" s="2">
        <v>39</v>
      </c>
      <c r="G755" s="2" t="s">
        <v>32</v>
      </c>
      <c r="H755" s="3" t="s">
        <v>2148</v>
      </c>
      <c r="I755" s="3" t="s">
        <v>2149</v>
      </c>
      <c r="J755" s="2" t="s">
        <v>6</v>
      </c>
      <c r="K755" s="2">
        <v>40286</v>
      </c>
      <c r="L755" s="2">
        <v>1</v>
      </c>
      <c r="M755" s="2">
        <v>3</v>
      </c>
      <c r="N755" s="2" t="s">
        <v>8</v>
      </c>
      <c r="O755" s="2">
        <v>8</v>
      </c>
      <c r="P755" s="2">
        <f ca="1">ROUND((IF(I755="",TODAY(),I755)-H755)/365,1)</f>
        <v>3.8</v>
      </c>
      <c r="Q755" s="2" t="str">
        <f t="shared" si="11"/>
        <v>N/A</v>
      </c>
    </row>
    <row r="756" spans="1:17" x14ac:dyDescent="0.35">
      <c r="A756" s="2" t="s">
        <v>2150</v>
      </c>
      <c r="B756" s="2" t="s">
        <v>1695</v>
      </c>
      <c r="C756" s="2" t="s">
        <v>12</v>
      </c>
      <c r="D756" s="2" t="s">
        <v>55</v>
      </c>
      <c r="E756" s="2" t="s">
        <v>31</v>
      </c>
      <c r="F756" s="2">
        <v>58</v>
      </c>
      <c r="G756" s="2" t="s">
        <v>78</v>
      </c>
      <c r="H756" s="3" t="s">
        <v>615</v>
      </c>
      <c r="I756" s="2"/>
      <c r="J756" s="2" t="s">
        <v>8</v>
      </c>
      <c r="K756" s="2">
        <v>75326</v>
      </c>
      <c r="L756" s="2">
        <v>5</v>
      </c>
      <c r="M756" s="2">
        <v>1</v>
      </c>
      <c r="N756" s="2" t="s">
        <v>8</v>
      </c>
      <c r="O756" s="2">
        <v>12</v>
      </c>
      <c r="P756" s="2">
        <f ca="1">ROUND((IF(I756="",TODAY(),I756)-H756)/365,1)</f>
        <v>5.2</v>
      </c>
      <c r="Q756" s="2" t="str">
        <f t="shared" si="11"/>
        <v>Medium</v>
      </c>
    </row>
    <row r="757" spans="1:17" x14ac:dyDescent="0.35">
      <c r="A757" s="2" t="s">
        <v>2151</v>
      </c>
      <c r="B757" s="2" t="s">
        <v>347</v>
      </c>
      <c r="C757" s="2" t="s">
        <v>12</v>
      </c>
      <c r="D757" s="2" t="s">
        <v>133</v>
      </c>
      <c r="E757" s="2" t="s">
        <v>46</v>
      </c>
      <c r="F757" s="2">
        <v>28</v>
      </c>
      <c r="G757" s="2" t="s">
        <v>56</v>
      </c>
      <c r="H757" s="3" t="s">
        <v>2152</v>
      </c>
      <c r="I757" s="3" t="s">
        <v>2153</v>
      </c>
      <c r="J757" s="2" t="s">
        <v>6</v>
      </c>
      <c r="K757" s="2">
        <v>131544</v>
      </c>
      <c r="L757" s="2">
        <v>2</v>
      </c>
      <c r="M757" s="2">
        <v>5</v>
      </c>
      <c r="N757" s="2" t="s">
        <v>6</v>
      </c>
      <c r="O757" s="2">
        <v>26</v>
      </c>
      <c r="P757" s="2">
        <f ca="1">ROUND((IF(I757="",TODAY(),I757)-H757)/365,1)</f>
        <v>6.4</v>
      </c>
      <c r="Q757" s="2" t="str">
        <f t="shared" si="11"/>
        <v>N/A</v>
      </c>
    </row>
    <row r="758" spans="1:17" x14ac:dyDescent="0.35">
      <c r="A758" s="2" t="s">
        <v>2154</v>
      </c>
      <c r="B758" s="2" t="s">
        <v>617</v>
      </c>
      <c r="C758" s="2" t="s">
        <v>11</v>
      </c>
      <c r="D758" s="2" t="s">
        <v>98</v>
      </c>
      <c r="E758" s="2" t="s">
        <v>46</v>
      </c>
      <c r="F758" s="2">
        <v>56</v>
      </c>
      <c r="G758" s="2" t="s">
        <v>32</v>
      </c>
      <c r="H758" s="3" t="s">
        <v>2155</v>
      </c>
      <c r="I758" s="3" t="s">
        <v>1271</v>
      </c>
      <c r="J758" s="2" t="s">
        <v>6</v>
      </c>
      <c r="K758" s="2">
        <v>142650</v>
      </c>
      <c r="L758" s="2">
        <v>2</v>
      </c>
      <c r="M758" s="2">
        <v>1</v>
      </c>
      <c r="N758" s="2" t="s">
        <v>8</v>
      </c>
      <c r="O758" s="2">
        <v>43</v>
      </c>
      <c r="P758" s="2">
        <f ca="1">ROUND((IF(I758="",TODAY(),I758)-H758)/365,1)</f>
        <v>3.5</v>
      </c>
      <c r="Q758" s="2" t="str">
        <f t="shared" si="11"/>
        <v>N/A</v>
      </c>
    </row>
    <row r="759" spans="1:17" x14ac:dyDescent="0.35">
      <c r="A759" s="2" t="s">
        <v>2156</v>
      </c>
      <c r="B759" s="2" t="s">
        <v>2157</v>
      </c>
      <c r="C759" s="2" t="s">
        <v>12</v>
      </c>
      <c r="D759" s="2" t="s">
        <v>30</v>
      </c>
      <c r="E759" s="2" t="s">
        <v>31</v>
      </c>
      <c r="F759" s="2">
        <v>42</v>
      </c>
      <c r="G759" s="2" t="s">
        <v>32</v>
      </c>
      <c r="H759" s="3" t="s">
        <v>2158</v>
      </c>
      <c r="I759" s="2"/>
      <c r="J759" s="2" t="s">
        <v>8</v>
      </c>
      <c r="K759" s="2">
        <v>46130</v>
      </c>
      <c r="L759" s="2">
        <v>2</v>
      </c>
      <c r="M759" s="2">
        <v>5</v>
      </c>
      <c r="N759" s="2" t="s">
        <v>6</v>
      </c>
      <c r="O759" s="2">
        <v>42</v>
      </c>
      <c r="P759" s="2">
        <f ca="1">ROUND((IF(I759="",TODAY(),I759)-H759)/365,1)</f>
        <v>10.199999999999999</v>
      </c>
      <c r="Q759" s="2" t="str">
        <f t="shared" si="11"/>
        <v>Medium</v>
      </c>
    </row>
    <row r="760" spans="1:17" x14ac:dyDescent="0.35">
      <c r="A760" s="2" t="s">
        <v>2159</v>
      </c>
      <c r="B760" s="2" t="s">
        <v>2160</v>
      </c>
      <c r="C760" s="2" t="s">
        <v>5</v>
      </c>
      <c r="D760" s="2" t="s">
        <v>94</v>
      </c>
      <c r="E760" s="2" t="s">
        <v>31</v>
      </c>
      <c r="F760" s="2">
        <v>45</v>
      </c>
      <c r="G760" s="2" t="s">
        <v>56</v>
      </c>
      <c r="H760" s="3" t="s">
        <v>2161</v>
      </c>
      <c r="I760" s="2"/>
      <c r="J760" s="2" t="s">
        <v>8</v>
      </c>
      <c r="K760" s="2">
        <v>31051</v>
      </c>
      <c r="L760" s="2">
        <v>2</v>
      </c>
      <c r="M760" s="2">
        <v>1</v>
      </c>
      <c r="N760" s="2" t="s">
        <v>6</v>
      </c>
      <c r="O760" s="2">
        <v>20</v>
      </c>
      <c r="P760" s="2">
        <f ca="1">ROUND((IF(I760="",TODAY(),I760)-H760)/365,1)</f>
        <v>5.5</v>
      </c>
      <c r="Q760" s="2" t="str">
        <f t="shared" si="11"/>
        <v>High</v>
      </c>
    </row>
    <row r="761" spans="1:17" x14ac:dyDescent="0.35">
      <c r="A761" s="2" t="s">
        <v>2162</v>
      </c>
      <c r="B761" s="2" t="s">
        <v>2163</v>
      </c>
      <c r="C761" s="2" t="s">
        <v>9</v>
      </c>
      <c r="D761" s="2" t="s">
        <v>77</v>
      </c>
      <c r="E761" s="2" t="s">
        <v>46</v>
      </c>
      <c r="F761" s="2">
        <v>53</v>
      </c>
      <c r="G761" s="2" t="s">
        <v>32</v>
      </c>
      <c r="H761" s="3" t="s">
        <v>2164</v>
      </c>
      <c r="I761" s="2"/>
      <c r="J761" s="2" t="s">
        <v>8</v>
      </c>
      <c r="K761" s="2">
        <v>91924</v>
      </c>
      <c r="L761" s="2">
        <v>5</v>
      </c>
      <c r="M761" s="2">
        <v>3</v>
      </c>
      <c r="N761" s="2" t="s">
        <v>6</v>
      </c>
      <c r="O761" s="2">
        <v>35</v>
      </c>
      <c r="P761" s="2">
        <f ca="1">ROUND((IF(I761="",TODAY(),I761)-H761)/365,1)</f>
        <v>3.8</v>
      </c>
      <c r="Q761" s="2" t="str">
        <f t="shared" si="11"/>
        <v>Medium</v>
      </c>
    </row>
    <row r="762" spans="1:17" x14ac:dyDescent="0.35">
      <c r="A762" s="2" t="s">
        <v>2165</v>
      </c>
      <c r="B762" s="2" t="s">
        <v>2166</v>
      </c>
      <c r="C762" s="2" t="s">
        <v>12</v>
      </c>
      <c r="D762" s="2" t="s">
        <v>30</v>
      </c>
      <c r="E762" s="2" t="s">
        <v>31</v>
      </c>
      <c r="F762" s="2">
        <v>31</v>
      </c>
      <c r="G762" s="2" t="s">
        <v>32</v>
      </c>
      <c r="H762" s="3" t="s">
        <v>2167</v>
      </c>
      <c r="I762" s="2"/>
      <c r="J762" s="2" t="s">
        <v>8</v>
      </c>
      <c r="K762" s="2">
        <v>97361</v>
      </c>
      <c r="L762" s="2">
        <v>2</v>
      </c>
      <c r="M762" s="2">
        <v>2</v>
      </c>
      <c r="N762" s="2" t="s">
        <v>8</v>
      </c>
      <c r="O762" s="2">
        <v>39</v>
      </c>
      <c r="P762" s="2">
        <f ca="1">ROUND((IF(I762="",TODAY(),I762)-H762)/365,1)</f>
        <v>8.1999999999999993</v>
      </c>
      <c r="Q762" s="2" t="str">
        <f t="shared" si="11"/>
        <v>Medium</v>
      </c>
    </row>
    <row r="763" spans="1:17" x14ac:dyDescent="0.35">
      <c r="A763" s="2" t="s">
        <v>2168</v>
      </c>
      <c r="B763" s="2" t="s">
        <v>44</v>
      </c>
      <c r="C763" s="2" t="s">
        <v>9</v>
      </c>
      <c r="D763" s="2" t="s">
        <v>51</v>
      </c>
      <c r="E763" s="2" t="s">
        <v>46</v>
      </c>
      <c r="F763" s="2">
        <v>38</v>
      </c>
      <c r="G763" s="2" t="s">
        <v>78</v>
      </c>
      <c r="H763" s="3" t="s">
        <v>2169</v>
      </c>
      <c r="I763" s="2"/>
      <c r="J763" s="2" t="s">
        <v>8</v>
      </c>
      <c r="K763" s="2">
        <v>35912</v>
      </c>
      <c r="L763" s="2">
        <v>4</v>
      </c>
      <c r="M763" s="2">
        <v>2</v>
      </c>
      <c r="N763" s="2" t="s">
        <v>8</v>
      </c>
      <c r="O763" s="2">
        <v>30</v>
      </c>
      <c r="P763" s="2">
        <f ca="1">ROUND((IF(I763="",TODAY(),I763)-H763)/365,1)</f>
        <v>8.6999999999999993</v>
      </c>
      <c r="Q763" s="2" t="str">
        <f t="shared" si="11"/>
        <v>Medium</v>
      </c>
    </row>
    <row r="764" spans="1:17" x14ac:dyDescent="0.35">
      <c r="A764" s="2" t="s">
        <v>2170</v>
      </c>
      <c r="B764" s="2" t="s">
        <v>290</v>
      </c>
      <c r="C764" s="2" t="s">
        <v>12</v>
      </c>
      <c r="D764" s="2" t="s">
        <v>30</v>
      </c>
      <c r="E764" s="2" t="s">
        <v>31</v>
      </c>
      <c r="F764" s="2">
        <v>34</v>
      </c>
      <c r="G764" s="2" t="s">
        <v>32</v>
      </c>
      <c r="H764" s="3" t="s">
        <v>1879</v>
      </c>
      <c r="I764" s="2"/>
      <c r="J764" s="2" t="s">
        <v>8</v>
      </c>
      <c r="K764" s="2">
        <v>80009</v>
      </c>
      <c r="L764" s="2">
        <v>5</v>
      </c>
      <c r="M764" s="2">
        <v>5</v>
      </c>
      <c r="N764" s="2" t="s">
        <v>8</v>
      </c>
      <c r="O764" s="2">
        <v>11</v>
      </c>
      <c r="P764" s="2">
        <f ca="1">ROUND((IF(I764="",TODAY(),I764)-H764)/365,1)</f>
        <v>3.6</v>
      </c>
      <c r="Q764" s="2" t="str">
        <f t="shared" si="11"/>
        <v>Low</v>
      </c>
    </row>
    <row r="765" spans="1:17" x14ac:dyDescent="0.35">
      <c r="A765" s="2" t="s">
        <v>2171</v>
      </c>
      <c r="B765" s="2" t="s">
        <v>886</v>
      </c>
      <c r="C765" s="2" t="s">
        <v>10</v>
      </c>
      <c r="D765" s="2" t="s">
        <v>258</v>
      </c>
      <c r="E765" s="2" t="s">
        <v>31</v>
      </c>
      <c r="F765" s="2">
        <v>26</v>
      </c>
      <c r="G765" s="2" t="s">
        <v>78</v>
      </c>
      <c r="H765" s="3" t="s">
        <v>1683</v>
      </c>
      <c r="I765" s="2"/>
      <c r="J765" s="2" t="s">
        <v>8</v>
      </c>
      <c r="K765" s="2">
        <v>33645</v>
      </c>
      <c r="L765" s="2">
        <v>5</v>
      </c>
      <c r="M765" s="2">
        <v>1</v>
      </c>
      <c r="N765" s="2" t="s">
        <v>6</v>
      </c>
      <c r="O765" s="2">
        <v>27</v>
      </c>
      <c r="P765" s="2">
        <f ca="1">ROUND((IF(I765="",TODAY(),I765)-H765)/365,1)</f>
        <v>8.6</v>
      </c>
      <c r="Q765" s="2" t="str">
        <f t="shared" si="11"/>
        <v>High</v>
      </c>
    </row>
    <row r="766" spans="1:17" x14ac:dyDescent="0.35">
      <c r="A766" s="2" t="s">
        <v>2172</v>
      </c>
      <c r="B766" s="2" t="s">
        <v>2173</v>
      </c>
      <c r="C766" s="2" t="s">
        <v>9</v>
      </c>
      <c r="D766" s="2" t="s">
        <v>41</v>
      </c>
      <c r="E766" s="2" t="s">
        <v>46</v>
      </c>
      <c r="F766" s="2">
        <v>39</v>
      </c>
      <c r="G766" s="2" t="s">
        <v>32</v>
      </c>
      <c r="H766" s="3" t="s">
        <v>2174</v>
      </c>
      <c r="I766" s="3" t="s">
        <v>2175</v>
      </c>
      <c r="J766" s="2" t="s">
        <v>6</v>
      </c>
      <c r="K766" s="2">
        <v>127594</v>
      </c>
      <c r="L766" s="2">
        <v>4</v>
      </c>
      <c r="M766" s="2">
        <v>2</v>
      </c>
      <c r="N766" s="2" t="s">
        <v>6</v>
      </c>
      <c r="O766" s="2">
        <v>7</v>
      </c>
      <c r="P766" s="2">
        <f ca="1">ROUND((IF(I766="",TODAY(),I766)-H766)/365,1)</f>
        <v>7</v>
      </c>
      <c r="Q766" s="2" t="str">
        <f t="shared" si="11"/>
        <v>N/A</v>
      </c>
    </row>
    <row r="767" spans="1:17" x14ac:dyDescent="0.35">
      <c r="A767" s="2" t="s">
        <v>2176</v>
      </c>
      <c r="B767" s="2" t="s">
        <v>2177</v>
      </c>
      <c r="C767" s="2" t="s">
        <v>11</v>
      </c>
      <c r="D767" s="2" t="s">
        <v>66</v>
      </c>
      <c r="E767" s="2" t="s">
        <v>31</v>
      </c>
      <c r="F767" s="2">
        <v>58</v>
      </c>
      <c r="G767" s="2" t="s">
        <v>32</v>
      </c>
      <c r="H767" s="3" t="s">
        <v>2178</v>
      </c>
      <c r="I767" s="3" t="s">
        <v>2179</v>
      </c>
      <c r="J767" s="2" t="s">
        <v>6</v>
      </c>
      <c r="K767" s="2">
        <v>142515</v>
      </c>
      <c r="L767" s="2">
        <v>5</v>
      </c>
      <c r="M767" s="2">
        <v>3</v>
      </c>
      <c r="N767" s="2" t="s">
        <v>6</v>
      </c>
      <c r="O767" s="2">
        <v>7</v>
      </c>
      <c r="P767" s="2">
        <f ca="1">ROUND((IF(I767="",TODAY(),I767)-H767)/365,1)</f>
        <v>1.3</v>
      </c>
      <c r="Q767" s="2" t="str">
        <f t="shared" si="11"/>
        <v>N/A</v>
      </c>
    </row>
    <row r="768" spans="1:17" x14ac:dyDescent="0.35">
      <c r="A768" s="2" t="s">
        <v>2180</v>
      </c>
      <c r="B768" s="2" t="s">
        <v>2181</v>
      </c>
      <c r="C768" s="2" t="s">
        <v>7</v>
      </c>
      <c r="D768" s="2" t="s">
        <v>125</v>
      </c>
      <c r="E768" s="2" t="s">
        <v>46</v>
      </c>
      <c r="F768" s="2">
        <v>30</v>
      </c>
      <c r="G768" s="2" t="s">
        <v>32</v>
      </c>
      <c r="H768" s="3" t="s">
        <v>2182</v>
      </c>
      <c r="I768" s="2"/>
      <c r="J768" s="2" t="s">
        <v>8</v>
      </c>
      <c r="K768" s="2">
        <v>41563</v>
      </c>
      <c r="L768" s="2">
        <v>2</v>
      </c>
      <c r="M768" s="2">
        <v>5</v>
      </c>
      <c r="N768" s="2" t="s">
        <v>6</v>
      </c>
      <c r="O768" s="2">
        <v>43</v>
      </c>
      <c r="P768" s="2">
        <f ca="1">ROUND((IF(I768="",TODAY(),I768)-H768)/365,1)</f>
        <v>8.6999999999999993</v>
      </c>
      <c r="Q768" s="2" t="str">
        <f t="shared" si="11"/>
        <v>Medium</v>
      </c>
    </row>
    <row r="769" spans="1:17" x14ac:dyDescent="0.35">
      <c r="A769" s="2" t="s">
        <v>2183</v>
      </c>
      <c r="B769" s="2" t="s">
        <v>2184</v>
      </c>
      <c r="C769" s="2" t="s">
        <v>12</v>
      </c>
      <c r="D769" s="2" t="s">
        <v>133</v>
      </c>
      <c r="E769" s="2" t="s">
        <v>31</v>
      </c>
      <c r="F769" s="2">
        <v>48</v>
      </c>
      <c r="G769" s="2" t="s">
        <v>78</v>
      </c>
      <c r="H769" s="3" t="s">
        <v>2185</v>
      </c>
      <c r="I769" s="2"/>
      <c r="J769" s="2" t="s">
        <v>8</v>
      </c>
      <c r="K769" s="2">
        <v>90828</v>
      </c>
      <c r="L769" s="2">
        <v>3</v>
      </c>
      <c r="M769" s="2">
        <v>4</v>
      </c>
      <c r="N769" s="2" t="s">
        <v>8</v>
      </c>
      <c r="O769" s="2">
        <v>30</v>
      </c>
      <c r="P769" s="2">
        <f ca="1">ROUND((IF(I769="",TODAY(),I769)-H769)/365,1)</f>
        <v>3.7</v>
      </c>
      <c r="Q769" s="2" t="str">
        <f t="shared" si="11"/>
        <v>Low</v>
      </c>
    </row>
    <row r="770" spans="1:17" x14ac:dyDescent="0.35">
      <c r="A770" s="2" t="s">
        <v>2186</v>
      </c>
      <c r="B770" s="2" t="s">
        <v>2187</v>
      </c>
      <c r="C770" s="2" t="s">
        <v>10</v>
      </c>
      <c r="D770" s="2" t="s">
        <v>70</v>
      </c>
      <c r="E770" s="2" t="s">
        <v>31</v>
      </c>
      <c r="F770" s="2">
        <v>41</v>
      </c>
      <c r="G770" s="2" t="s">
        <v>32</v>
      </c>
      <c r="H770" s="3" t="s">
        <v>2188</v>
      </c>
      <c r="I770" s="2"/>
      <c r="J770" s="2" t="s">
        <v>8</v>
      </c>
      <c r="K770" s="2">
        <v>120676</v>
      </c>
      <c r="L770" s="2">
        <v>1</v>
      </c>
      <c r="M770" s="2">
        <v>1</v>
      </c>
      <c r="N770" s="2" t="s">
        <v>8</v>
      </c>
      <c r="O770" s="2">
        <v>5</v>
      </c>
      <c r="P770" s="2">
        <f ca="1">ROUND((IF(I770="",TODAY(),I770)-H770)/365,1)</f>
        <v>7</v>
      </c>
      <c r="Q770" s="2" t="str">
        <f t="shared" ref="Q770:Q833" si="12">IF(J770="No",IF(AND(M770&lt;=2,N770="Yes"),"High",IF(OR(M770&lt;=2,N770="Yes"),"Medium","Low")),"N/A")</f>
        <v>Medium</v>
      </c>
    </row>
    <row r="771" spans="1:17" x14ac:dyDescent="0.35">
      <c r="A771" s="2" t="s">
        <v>2189</v>
      </c>
      <c r="B771" s="2" t="s">
        <v>2097</v>
      </c>
      <c r="C771" s="2" t="s">
        <v>7</v>
      </c>
      <c r="D771" s="2" t="s">
        <v>37</v>
      </c>
      <c r="E771" s="2" t="s">
        <v>31</v>
      </c>
      <c r="F771" s="2">
        <v>57</v>
      </c>
      <c r="G771" s="2" t="s">
        <v>56</v>
      </c>
      <c r="H771" s="3" t="s">
        <v>2190</v>
      </c>
      <c r="I771" s="3" t="s">
        <v>2191</v>
      </c>
      <c r="J771" s="2" t="s">
        <v>6</v>
      </c>
      <c r="K771" s="2">
        <v>91674</v>
      </c>
      <c r="L771" s="2">
        <v>4</v>
      </c>
      <c r="M771" s="2">
        <v>1</v>
      </c>
      <c r="N771" s="2" t="s">
        <v>8</v>
      </c>
      <c r="O771" s="2">
        <v>44</v>
      </c>
      <c r="P771" s="2">
        <f ca="1">ROUND((IF(I771="",TODAY(),I771)-H771)/365,1)</f>
        <v>0.9</v>
      </c>
      <c r="Q771" s="2" t="str">
        <f t="shared" si="12"/>
        <v>N/A</v>
      </c>
    </row>
    <row r="772" spans="1:17" x14ac:dyDescent="0.35">
      <c r="A772" s="2" t="s">
        <v>2192</v>
      </c>
      <c r="B772" s="2" t="s">
        <v>2193</v>
      </c>
      <c r="C772" s="2" t="s">
        <v>11</v>
      </c>
      <c r="D772" s="2" t="s">
        <v>98</v>
      </c>
      <c r="E772" s="2" t="s">
        <v>31</v>
      </c>
      <c r="F772" s="2">
        <v>34</v>
      </c>
      <c r="G772" s="2" t="s">
        <v>56</v>
      </c>
      <c r="H772" s="3" t="s">
        <v>929</v>
      </c>
      <c r="I772" s="2"/>
      <c r="J772" s="2" t="s">
        <v>8</v>
      </c>
      <c r="K772" s="2">
        <v>95035</v>
      </c>
      <c r="L772" s="2">
        <v>4</v>
      </c>
      <c r="M772" s="2">
        <v>1</v>
      </c>
      <c r="N772" s="2" t="s">
        <v>8</v>
      </c>
      <c r="O772" s="2">
        <v>45</v>
      </c>
      <c r="P772" s="2">
        <f ca="1">ROUND((IF(I772="",TODAY(),I772)-H772)/365,1)</f>
        <v>1.4</v>
      </c>
      <c r="Q772" s="2" t="str">
        <f t="shared" si="12"/>
        <v>Medium</v>
      </c>
    </row>
    <row r="773" spans="1:17" x14ac:dyDescent="0.35">
      <c r="A773" s="2" t="s">
        <v>2194</v>
      </c>
      <c r="B773" s="2" t="s">
        <v>1792</v>
      </c>
      <c r="C773" s="2" t="s">
        <v>12</v>
      </c>
      <c r="D773" s="2" t="s">
        <v>55</v>
      </c>
      <c r="E773" s="2" t="s">
        <v>31</v>
      </c>
      <c r="F773" s="2">
        <v>32</v>
      </c>
      <c r="G773" s="2" t="s">
        <v>78</v>
      </c>
      <c r="H773" s="3" t="s">
        <v>600</v>
      </c>
      <c r="I773" s="2"/>
      <c r="J773" s="2" t="s">
        <v>8</v>
      </c>
      <c r="K773" s="2">
        <v>34846</v>
      </c>
      <c r="L773" s="2">
        <v>2</v>
      </c>
      <c r="M773" s="2">
        <v>5</v>
      </c>
      <c r="N773" s="2" t="s">
        <v>8</v>
      </c>
      <c r="O773" s="2">
        <v>12</v>
      </c>
      <c r="P773" s="2">
        <f ca="1">ROUND((IF(I773="",TODAY(),I773)-H773)/365,1)</f>
        <v>4</v>
      </c>
      <c r="Q773" s="2" t="str">
        <f t="shared" si="12"/>
        <v>Low</v>
      </c>
    </row>
    <row r="774" spans="1:17" x14ac:dyDescent="0.35">
      <c r="A774" s="2" t="s">
        <v>2195</v>
      </c>
      <c r="B774" s="2" t="s">
        <v>2196</v>
      </c>
      <c r="C774" s="2" t="s">
        <v>11</v>
      </c>
      <c r="D774" s="2" t="s">
        <v>66</v>
      </c>
      <c r="E774" s="2" t="s">
        <v>31</v>
      </c>
      <c r="F774" s="2">
        <v>46</v>
      </c>
      <c r="G774" s="2" t="s">
        <v>56</v>
      </c>
      <c r="H774" s="3" t="s">
        <v>568</v>
      </c>
      <c r="I774" s="2"/>
      <c r="J774" s="2" t="s">
        <v>8</v>
      </c>
      <c r="K774" s="2">
        <v>57737</v>
      </c>
      <c r="L774" s="2">
        <v>3</v>
      </c>
      <c r="M774" s="2">
        <v>1</v>
      </c>
      <c r="N774" s="2" t="s">
        <v>8</v>
      </c>
      <c r="O774" s="2">
        <v>44</v>
      </c>
      <c r="P774" s="2">
        <f ca="1">ROUND((IF(I774="",TODAY(),I774)-H774)/365,1)</f>
        <v>9.6999999999999993</v>
      </c>
      <c r="Q774" s="2" t="str">
        <f t="shared" si="12"/>
        <v>Medium</v>
      </c>
    </row>
    <row r="775" spans="1:17" x14ac:dyDescent="0.35">
      <c r="A775" s="2" t="s">
        <v>2197</v>
      </c>
      <c r="B775" s="2" t="s">
        <v>545</v>
      </c>
      <c r="C775" s="2" t="s">
        <v>5</v>
      </c>
      <c r="D775" s="2" t="s">
        <v>207</v>
      </c>
      <c r="E775" s="2" t="s">
        <v>46</v>
      </c>
      <c r="F775" s="2">
        <v>38</v>
      </c>
      <c r="G775" s="2" t="s">
        <v>78</v>
      </c>
      <c r="H775" s="3" t="s">
        <v>2198</v>
      </c>
      <c r="I775" s="2"/>
      <c r="J775" s="2" t="s">
        <v>8</v>
      </c>
      <c r="K775" s="2">
        <v>145986</v>
      </c>
      <c r="L775" s="2">
        <v>4</v>
      </c>
      <c r="M775" s="2">
        <v>5</v>
      </c>
      <c r="N775" s="2" t="s">
        <v>6</v>
      </c>
      <c r="O775" s="2">
        <v>14</v>
      </c>
      <c r="P775" s="2">
        <f ca="1">ROUND((IF(I775="",TODAY(),I775)-H775)/365,1)</f>
        <v>9.1999999999999993</v>
      </c>
      <c r="Q775" s="2" t="str">
        <f t="shared" si="12"/>
        <v>Medium</v>
      </c>
    </row>
    <row r="776" spans="1:17" x14ac:dyDescent="0.35">
      <c r="A776" s="2" t="s">
        <v>2199</v>
      </c>
      <c r="B776" s="2" t="s">
        <v>2200</v>
      </c>
      <c r="C776" s="2" t="s">
        <v>12</v>
      </c>
      <c r="D776" s="2" t="s">
        <v>55</v>
      </c>
      <c r="E776" s="2" t="s">
        <v>31</v>
      </c>
      <c r="F776" s="2">
        <v>53</v>
      </c>
      <c r="G776" s="2" t="s">
        <v>78</v>
      </c>
      <c r="H776" s="3" t="s">
        <v>2201</v>
      </c>
      <c r="I776" s="3" t="s">
        <v>2202</v>
      </c>
      <c r="J776" s="2" t="s">
        <v>6</v>
      </c>
      <c r="K776" s="2">
        <v>64105</v>
      </c>
      <c r="L776" s="2">
        <v>4</v>
      </c>
      <c r="M776" s="2">
        <v>5</v>
      </c>
      <c r="N776" s="2" t="s">
        <v>8</v>
      </c>
      <c r="O776" s="2">
        <v>22</v>
      </c>
      <c r="P776" s="2">
        <f ca="1">ROUND((IF(I776="",TODAY(),I776)-H776)/365,1)</f>
        <v>4.0999999999999996</v>
      </c>
      <c r="Q776" s="2" t="str">
        <f t="shared" si="12"/>
        <v>N/A</v>
      </c>
    </row>
    <row r="777" spans="1:17" x14ac:dyDescent="0.35">
      <c r="A777" s="2" t="s">
        <v>2203</v>
      </c>
      <c r="B777" s="2" t="s">
        <v>1861</v>
      </c>
      <c r="C777" s="2" t="s">
        <v>12</v>
      </c>
      <c r="D777" s="2" t="s">
        <v>30</v>
      </c>
      <c r="E777" s="2" t="s">
        <v>46</v>
      </c>
      <c r="F777" s="2">
        <v>28</v>
      </c>
      <c r="G777" s="2" t="s">
        <v>32</v>
      </c>
      <c r="H777" s="3" t="s">
        <v>2204</v>
      </c>
      <c r="I777" s="2"/>
      <c r="J777" s="2" t="s">
        <v>8</v>
      </c>
      <c r="K777" s="2">
        <v>142769</v>
      </c>
      <c r="L777" s="2">
        <v>5</v>
      </c>
      <c r="M777" s="2">
        <v>1</v>
      </c>
      <c r="N777" s="2" t="s">
        <v>8</v>
      </c>
      <c r="O777" s="2">
        <v>33</v>
      </c>
      <c r="P777" s="2">
        <f ca="1">ROUND((IF(I777="",TODAY(),I777)-H777)/365,1)</f>
        <v>6.8</v>
      </c>
      <c r="Q777" s="2" t="str">
        <f t="shared" si="12"/>
        <v>Medium</v>
      </c>
    </row>
    <row r="778" spans="1:17" x14ac:dyDescent="0.35">
      <c r="A778" s="2" t="s">
        <v>2205</v>
      </c>
      <c r="B778" s="2" t="s">
        <v>29</v>
      </c>
      <c r="C778" s="2" t="s">
        <v>10</v>
      </c>
      <c r="D778" s="2" t="s">
        <v>111</v>
      </c>
      <c r="E778" s="2" t="s">
        <v>31</v>
      </c>
      <c r="F778" s="2">
        <v>52</v>
      </c>
      <c r="G778" s="2" t="s">
        <v>78</v>
      </c>
      <c r="H778" s="3" t="s">
        <v>2206</v>
      </c>
      <c r="I778" s="3" t="s">
        <v>1850</v>
      </c>
      <c r="J778" s="2" t="s">
        <v>6</v>
      </c>
      <c r="K778" s="2">
        <v>95310</v>
      </c>
      <c r="L778" s="2">
        <v>4</v>
      </c>
      <c r="M778" s="2">
        <v>3</v>
      </c>
      <c r="N778" s="2" t="s">
        <v>8</v>
      </c>
      <c r="O778" s="2">
        <v>12</v>
      </c>
      <c r="P778" s="2">
        <f ca="1">ROUND((IF(I778="",TODAY(),I778)-H778)/365,1)</f>
        <v>5.0999999999999996</v>
      </c>
      <c r="Q778" s="2" t="str">
        <f t="shared" si="12"/>
        <v>N/A</v>
      </c>
    </row>
    <row r="779" spans="1:17" x14ac:dyDescent="0.35">
      <c r="A779" s="2" t="s">
        <v>2207</v>
      </c>
      <c r="B779" s="2" t="s">
        <v>76</v>
      </c>
      <c r="C779" s="2" t="s">
        <v>12</v>
      </c>
      <c r="D779" s="2" t="s">
        <v>133</v>
      </c>
      <c r="E779" s="2" t="s">
        <v>31</v>
      </c>
      <c r="F779" s="2">
        <v>49</v>
      </c>
      <c r="G779" s="2" t="s">
        <v>32</v>
      </c>
      <c r="H779" s="3" t="s">
        <v>2208</v>
      </c>
      <c r="I779" s="3" t="s">
        <v>2209</v>
      </c>
      <c r="J779" s="2" t="s">
        <v>6</v>
      </c>
      <c r="K779" s="2">
        <v>62342</v>
      </c>
      <c r="L779" s="2">
        <v>1</v>
      </c>
      <c r="M779" s="2">
        <v>2</v>
      </c>
      <c r="N779" s="2" t="s">
        <v>8</v>
      </c>
      <c r="O779" s="2">
        <v>13</v>
      </c>
      <c r="P779" s="2">
        <f ca="1">ROUND((IF(I779="",TODAY(),I779)-H779)/365,1)</f>
        <v>9.6</v>
      </c>
      <c r="Q779" s="2" t="str">
        <f t="shared" si="12"/>
        <v>N/A</v>
      </c>
    </row>
    <row r="780" spans="1:17" x14ac:dyDescent="0.35">
      <c r="A780" s="2" t="s">
        <v>2210</v>
      </c>
      <c r="B780" s="2" t="s">
        <v>946</v>
      </c>
      <c r="C780" s="2" t="s">
        <v>12</v>
      </c>
      <c r="D780" s="2" t="s">
        <v>133</v>
      </c>
      <c r="E780" s="2" t="s">
        <v>31</v>
      </c>
      <c r="F780" s="2">
        <v>52</v>
      </c>
      <c r="G780" s="2" t="s">
        <v>78</v>
      </c>
      <c r="H780" s="3" t="s">
        <v>2211</v>
      </c>
      <c r="I780" s="2"/>
      <c r="J780" s="2" t="s">
        <v>8</v>
      </c>
      <c r="K780" s="2">
        <v>97105</v>
      </c>
      <c r="L780" s="2">
        <v>4</v>
      </c>
      <c r="M780" s="2">
        <v>1</v>
      </c>
      <c r="N780" s="2" t="s">
        <v>8</v>
      </c>
      <c r="O780" s="2">
        <v>32</v>
      </c>
      <c r="P780" s="2">
        <f ca="1">ROUND((IF(I780="",TODAY(),I780)-H780)/365,1)</f>
        <v>4.0999999999999996</v>
      </c>
      <c r="Q780" s="2" t="str">
        <f t="shared" si="12"/>
        <v>Medium</v>
      </c>
    </row>
    <row r="781" spans="1:17" x14ac:dyDescent="0.35">
      <c r="A781" s="2" t="s">
        <v>2212</v>
      </c>
      <c r="B781" s="2" t="s">
        <v>2213</v>
      </c>
      <c r="C781" s="2" t="s">
        <v>12</v>
      </c>
      <c r="D781" s="2" t="s">
        <v>30</v>
      </c>
      <c r="E781" s="2" t="s">
        <v>46</v>
      </c>
      <c r="F781" s="2">
        <v>46</v>
      </c>
      <c r="G781" s="2" t="s">
        <v>78</v>
      </c>
      <c r="H781" s="3" t="s">
        <v>2214</v>
      </c>
      <c r="I781" s="2"/>
      <c r="J781" s="2" t="s">
        <v>8</v>
      </c>
      <c r="K781" s="2">
        <v>45387</v>
      </c>
      <c r="L781" s="2">
        <v>1</v>
      </c>
      <c r="M781" s="2">
        <v>1</v>
      </c>
      <c r="N781" s="2" t="s">
        <v>6</v>
      </c>
      <c r="O781" s="2">
        <v>9</v>
      </c>
      <c r="P781" s="2">
        <f ca="1">ROUND((IF(I781="",TODAY(),I781)-H781)/365,1)</f>
        <v>10.1</v>
      </c>
      <c r="Q781" s="2" t="str">
        <f t="shared" si="12"/>
        <v>High</v>
      </c>
    </row>
    <row r="782" spans="1:17" x14ac:dyDescent="0.35">
      <c r="A782" s="2" t="s">
        <v>2215</v>
      </c>
      <c r="B782" s="2" t="s">
        <v>981</v>
      </c>
      <c r="C782" s="2" t="s">
        <v>12</v>
      </c>
      <c r="D782" s="2" t="s">
        <v>30</v>
      </c>
      <c r="E782" s="2" t="s">
        <v>31</v>
      </c>
      <c r="F782" s="2">
        <v>22</v>
      </c>
      <c r="G782" s="2" t="s">
        <v>78</v>
      </c>
      <c r="H782" s="3" t="s">
        <v>2216</v>
      </c>
      <c r="I782" s="2"/>
      <c r="J782" s="2" t="s">
        <v>8</v>
      </c>
      <c r="K782" s="2">
        <v>124732</v>
      </c>
      <c r="L782" s="2">
        <v>4</v>
      </c>
      <c r="M782" s="2">
        <v>3</v>
      </c>
      <c r="N782" s="2" t="s">
        <v>8</v>
      </c>
      <c r="O782" s="2">
        <v>6</v>
      </c>
      <c r="P782" s="2">
        <f ca="1">ROUND((IF(I782="",TODAY(),I782)-H782)/365,1)</f>
        <v>6.7</v>
      </c>
      <c r="Q782" s="2" t="str">
        <f t="shared" si="12"/>
        <v>Low</v>
      </c>
    </row>
    <row r="783" spans="1:17" x14ac:dyDescent="0.35">
      <c r="A783" s="2" t="s">
        <v>2217</v>
      </c>
      <c r="B783" s="2" t="s">
        <v>1311</v>
      </c>
      <c r="C783" s="2" t="s">
        <v>7</v>
      </c>
      <c r="D783" s="2" t="s">
        <v>37</v>
      </c>
      <c r="E783" s="2" t="s">
        <v>31</v>
      </c>
      <c r="F783" s="2">
        <v>29</v>
      </c>
      <c r="G783" s="2" t="s">
        <v>56</v>
      </c>
      <c r="H783" s="3" t="s">
        <v>421</v>
      </c>
      <c r="I783" s="2"/>
      <c r="J783" s="2" t="s">
        <v>8</v>
      </c>
      <c r="K783" s="2">
        <v>87114</v>
      </c>
      <c r="L783" s="2">
        <v>4</v>
      </c>
      <c r="M783" s="2">
        <v>2</v>
      </c>
      <c r="N783" s="2" t="s">
        <v>6</v>
      </c>
      <c r="O783" s="2">
        <v>13</v>
      </c>
      <c r="P783" s="2">
        <f ca="1">ROUND((IF(I783="",TODAY(),I783)-H783)/365,1)</f>
        <v>1.9</v>
      </c>
      <c r="Q783" s="2" t="str">
        <f t="shared" si="12"/>
        <v>High</v>
      </c>
    </row>
    <row r="784" spans="1:17" x14ac:dyDescent="0.35">
      <c r="A784" s="2" t="s">
        <v>2218</v>
      </c>
      <c r="B784" s="2" t="s">
        <v>1108</v>
      </c>
      <c r="C784" s="2" t="s">
        <v>5</v>
      </c>
      <c r="D784" s="2" t="s">
        <v>102</v>
      </c>
      <c r="E784" s="2" t="s">
        <v>31</v>
      </c>
      <c r="F784" s="2">
        <v>31</v>
      </c>
      <c r="G784" s="2" t="s">
        <v>32</v>
      </c>
      <c r="H784" s="3" t="s">
        <v>2219</v>
      </c>
      <c r="I784" s="2"/>
      <c r="J784" s="2" t="s">
        <v>8</v>
      </c>
      <c r="K784" s="2">
        <v>50189</v>
      </c>
      <c r="L784" s="2">
        <v>1</v>
      </c>
      <c r="M784" s="2">
        <v>4</v>
      </c>
      <c r="N784" s="2" t="s">
        <v>6</v>
      </c>
      <c r="O784" s="2">
        <v>18</v>
      </c>
      <c r="P784" s="2">
        <f ca="1">ROUND((IF(I784="",TODAY(),I784)-H784)/365,1)</f>
        <v>9</v>
      </c>
      <c r="Q784" s="2" t="str">
        <f t="shared" si="12"/>
        <v>Medium</v>
      </c>
    </row>
    <row r="785" spans="1:17" x14ac:dyDescent="0.35">
      <c r="A785" s="2" t="s">
        <v>2220</v>
      </c>
      <c r="B785" s="2" t="s">
        <v>101</v>
      </c>
      <c r="C785" s="2" t="s">
        <v>11</v>
      </c>
      <c r="D785" s="2" t="s">
        <v>45</v>
      </c>
      <c r="E785" s="2" t="s">
        <v>31</v>
      </c>
      <c r="F785" s="2">
        <v>48</v>
      </c>
      <c r="G785" s="2" t="s">
        <v>78</v>
      </c>
      <c r="H785" s="3" t="s">
        <v>2221</v>
      </c>
      <c r="I785" s="3" t="s">
        <v>2222</v>
      </c>
      <c r="J785" s="2" t="s">
        <v>6</v>
      </c>
      <c r="K785" s="2">
        <v>80846</v>
      </c>
      <c r="L785" s="2">
        <v>2</v>
      </c>
      <c r="M785" s="2">
        <v>2</v>
      </c>
      <c r="N785" s="2" t="s">
        <v>6</v>
      </c>
      <c r="O785" s="2">
        <v>22</v>
      </c>
      <c r="P785" s="2">
        <f ca="1">ROUND((IF(I785="",TODAY(),I785)-H785)/365,1)</f>
        <v>2.6</v>
      </c>
      <c r="Q785" s="2" t="str">
        <f t="shared" si="12"/>
        <v>N/A</v>
      </c>
    </row>
    <row r="786" spans="1:17" x14ac:dyDescent="0.35">
      <c r="A786" s="2" t="s">
        <v>2223</v>
      </c>
      <c r="B786" s="2" t="s">
        <v>386</v>
      </c>
      <c r="C786" s="2" t="s">
        <v>12</v>
      </c>
      <c r="D786" s="2" t="s">
        <v>30</v>
      </c>
      <c r="E786" s="2" t="s">
        <v>46</v>
      </c>
      <c r="F786" s="2">
        <v>45</v>
      </c>
      <c r="G786" s="2" t="s">
        <v>32</v>
      </c>
      <c r="H786" s="3" t="s">
        <v>2224</v>
      </c>
      <c r="I786" s="2"/>
      <c r="J786" s="2" t="s">
        <v>8</v>
      </c>
      <c r="K786" s="2">
        <v>142323</v>
      </c>
      <c r="L786" s="2">
        <v>2</v>
      </c>
      <c r="M786" s="2">
        <v>4</v>
      </c>
      <c r="N786" s="2" t="s">
        <v>8</v>
      </c>
      <c r="O786" s="2">
        <v>21</v>
      </c>
      <c r="P786" s="2">
        <f ca="1">ROUND((IF(I786="",TODAY(),I786)-H786)/365,1)</f>
        <v>8.5</v>
      </c>
      <c r="Q786" s="2" t="str">
        <f t="shared" si="12"/>
        <v>Low</v>
      </c>
    </row>
    <row r="787" spans="1:17" x14ac:dyDescent="0.35">
      <c r="A787" s="2" t="s">
        <v>2225</v>
      </c>
      <c r="B787" s="2" t="s">
        <v>2226</v>
      </c>
      <c r="C787" s="2" t="s">
        <v>5</v>
      </c>
      <c r="D787" s="2" t="s">
        <v>94</v>
      </c>
      <c r="E787" s="2" t="s">
        <v>46</v>
      </c>
      <c r="F787" s="2">
        <v>52</v>
      </c>
      <c r="G787" s="2" t="s">
        <v>78</v>
      </c>
      <c r="H787" s="3" t="s">
        <v>2227</v>
      </c>
      <c r="I787" s="2"/>
      <c r="J787" s="2" t="s">
        <v>8</v>
      </c>
      <c r="K787" s="2">
        <v>58064</v>
      </c>
      <c r="L787" s="2">
        <v>4</v>
      </c>
      <c r="M787" s="2">
        <v>1</v>
      </c>
      <c r="N787" s="2" t="s">
        <v>8</v>
      </c>
      <c r="O787" s="2">
        <v>12</v>
      </c>
      <c r="P787" s="2">
        <f ca="1">ROUND((IF(I787="",TODAY(),I787)-H787)/365,1)</f>
        <v>8.5</v>
      </c>
      <c r="Q787" s="2" t="str">
        <f t="shared" si="12"/>
        <v>Medium</v>
      </c>
    </row>
    <row r="788" spans="1:17" x14ac:dyDescent="0.35">
      <c r="A788" s="2" t="s">
        <v>2228</v>
      </c>
      <c r="B788" s="2" t="s">
        <v>2135</v>
      </c>
      <c r="C788" s="2" t="s">
        <v>9</v>
      </c>
      <c r="D788" s="2" t="s">
        <v>51</v>
      </c>
      <c r="E788" s="2" t="s">
        <v>31</v>
      </c>
      <c r="F788" s="2">
        <v>30</v>
      </c>
      <c r="G788" s="2" t="s">
        <v>78</v>
      </c>
      <c r="H788" s="3" t="s">
        <v>2229</v>
      </c>
      <c r="I788" s="2"/>
      <c r="J788" s="2" t="s">
        <v>8</v>
      </c>
      <c r="K788" s="2">
        <v>104261</v>
      </c>
      <c r="L788" s="2">
        <v>5</v>
      </c>
      <c r="M788" s="2">
        <v>3</v>
      </c>
      <c r="N788" s="2" t="s">
        <v>8</v>
      </c>
      <c r="O788" s="2">
        <v>34</v>
      </c>
      <c r="P788" s="2">
        <f ca="1">ROUND((IF(I788="",TODAY(),I788)-H788)/365,1)</f>
        <v>7.9</v>
      </c>
      <c r="Q788" s="2" t="str">
        <f t="shared" si="12"/>
        <v>Low</v>
      </c>
    </row>
    <row r="789" spans="1:17" x14ac:dyDescent="0.35">
      <c r="A789" s="2" t="s">
        <v>2230</v>
      </c>
      <c r="B789" s="2" t="s">
        <v>1982</v>
      </c>
      <c r="C789" s="2" t="s">
        <v>9</v>
      </c>
      <c r="D789" s="2" t="s">
        <v>51</v>
      </c>
      <c r="E789" s="2" t="s">
        <v>46</v>
      </c>
      <c r="F789" s="2">
        <v>30</v>
      </c>
      <c r="G789" s="2" t="s">
        <v>56</v>
      </c>
      <c r="H789" s="3" t="s">
        <v>2231</v>
      </c>
      <c r="I789" s="2"/>
      <c r="J789" s="2" t="s">
        <v>8</v>
      </c>
      <c r="K789" s="2">
        <v>144560</v>
      </c>
      <c r="L789" s="2">
        <v>1</v>
      </c>
      <c r="M789" s="2">
        <v>1</v>
      </c>
      <c r="N789" s="2" t="s">
        <v>8</v>
      </c>
      <c r="O789" s="2">
        <v>38</v>
      </c>
      <c r="P789" s="2">
        <f ca="1">ROUND((IF(I789="",TODAY(),I789)-H789)/365,1)</f>
        <v>4.5</v>
      </c>
      <c r="Q789" s="2" t="str">
        <f t="shared" si="12"/>
        <v>Medium</v>
      </c>
    </row>
    <row r="790" spans="1:17" x14ac:dyDescent="0.35">
      <c r="A790" s="2" t="s">
        <v>2232</v>
      </c>
      <c r="B790" s="2" t="s">
        <v>2233</v>
      </c>
      <c r="C790" s="2" t="s">
        <v>7</v>
      </c>
      <c r="D790" s="2" t="s">
        <v>37</v>
      </c>
      <c r="E790" s="2" t="s">
        <v>46</v>
      </c>
      <c r="F790" s="2">
        <v>56</v>
      </c>
      <c r="G790" s="2" t="s">
        <v>32</v>
      </c>
      <c r="H790" s="3" t="s">
        <v>2234</v>
      </c>
      <c r="I790" s="3" t="s">
        <v>2235</v>
      </c>
      <c r="J790" s="2" t="s">
        <v>6</v>
      </c>
      <c r="K790" s="2">
        <v>119472</v>
      </c>
      <c r="L790" s="2">
        <v>2</v>
      </c>
      <c r="M790" s="2">
        <v>4</v>
      </c>
      <c r="N790" s="2" t="s">
        <v>6</v>
      </c>
      <c r="O790" s="2">
        <v>35</v>
      </c>
      <c r="P790" s="2">
        <f ca="1">ROUND((IF(I790="",TODAY(),I790)-H790)/365,1)</f>
        <v>1.2</v>
      </c>
      <c r="Q790" s="2" t="str">
        <f t="shared" si="12"/>
        <v>N/A</v>
      </c>
    </row>
    <row r="791" spans="1:17" x14ac:dyDescent="0.35">
      <c r="A791" s="2" t="s">
        <v>2236</v>
      </c>
      <c r="B791" s="2" t="s">
        <v>336</v>
      </c>
      <c r="C791" s="2" t="s">
        <v>10</v>
      </c>
      <c r="D791" s="2" t="s">
        <v>70</v>
      </c>
      <c r="E791" s="2" t="s">
        <v>46</v>
      </c>
      <c r="F791" s="2">
        <v>45</v>
      </c>
      <c r="G791" s="2" t="s">
        <v>78</v>
      </c>
      <c r="H791" s="3" t="s">
        <v>2237</v>
      </c>
      <c r="I791" s="2"/>
      <c r="J791" s="2" t="s">
        <v>8</v>
      </c>
      <c r="K791" s="2">
        <v>88284</v>
      </c>
      <c r="L791" s="2">
        <v>4</v>
      </c>
      <c r="M791" s="2">
        <v>1</v>
      </c>
      <c r="N791" s="2" t="s">
        <v>8</v>
      </c>
      <c r="O791" s="2">
        <v>5</v>
      </c>
      <c r="P791" s="2">
        <f ca="1">ROUND((IF(I791="",TODAY(),I791)-H791)/365,1)</f>
        <v>6.6</v>
      </c>
      <c r="Q791" s="2" t="str">
        <f t="shared" si="12"/>
        <v>Medium</v>
      </c>
    </row>
    <row r="792" spans="1:17" x14ac:dyDescent="0.35">
      <c r="A792" s="2" t="s">
        <v>2238</v>
      </c>
      <c r="B792" s="2" t="s">
        <v>928</v>
      </c>
      <c r="C792" s="2" t="s">
        <v>11</v>
      </c>
      <c r="D792" s="2" t="s">
        <v>45</v>
      </c>
      <c r="E792" s="2" t="s">
        <v>31</v>
      </c>
      <c r="F792" s="2">
        <v>30</v>
      </c>
      <c r="G792" s="2" t="s">
        <v>56</v>
      </c>
      <c r="H792" s="3" t="s">
        <v>1248</v>
      </c>
      <c r="I792" s="2"/>
      <c r="J792" s="2" t="s">
        <v>8</v>
      </c>
      <c r="K792" s="2">
        <v>49928</v>
      </c>
      <c r="L792" s="2">
        <v>1</v>
      </c>
      <c r="M792" s="2">
        <v>5</v>
      </c>
      <c r="N792" s="2" t="s">
        <v>6</v>
      </c>
      <c r="O792" s="2">
        <v>45</v>
      </c>
      <c r="P792" s="2">
        <f ca="1">ROUND((IF(I792="",TODAY(),I792)-H792)/365,1)</f>
        <v>8.4</v>
      </c>
      <c r="Q792" s="2" t="str">
        <f t="shared" si="12"/>
        <v>Medium</v>
      </c>
    </row>
    <row r="793" spans="1:17" x14ac:dyDescent="0.35">
      <c r="A793" s="2" t="s">
        <v>2239</v>
      </c>
      <c r="B793" s="2" t="s">
        <v>1371</v>
      </c>
      <c r="C793" s="2" t="s">
        <v>10</v>
      </c>
      <c r="D793" s="2" t="s">
        <v>70</v>
      </c>
      <c r="E793" s="2" t="s">
        <v>31</v>
      </c>
      <c r="F793" s="2">
        <v>54</v>
      </c>
      <c r="G793" s="2" t="s">
        <v>32</v>
      </c>
      <c r="H793" s="3" t="s">
        <v>2240</v>
      </c>
      <c r="I793" s="2"/>
      <c r="J793" s="2" t="s">
        <v>8</v>
      </c>
      <c r="K793" s="2">
        <v>60585</v>
      </c>
      <c r="L793" s="2">
        <v>4</v>
      </c>
      <c r="M793" s="2">
        <v>4</v>
      </c>
      <c r="N793" s="2" t="s">
        <v>8</v>
      </c>
      <c r="O793" s="2">
        <v>39</v>
      </c>
      <c r="P793" s="2">
        <f ca="1">ROUND((IF(I793="",TODAY(),I793)-H793)/365,1)</f>
        <v>7.3</v>
      </c>
      <c r="Q793" s="2" t="str">
        <f t="shared" si="12"/>
        <v>Low</v>
      </c>
    </row>
    <row r="794" spans="1:17" x14ac:dyDescent="0.35">
      <c r="A794" s="2" t="s">
        <v>2241</v>
      </c>
      <c r="B794" s="2" t="s">
        <v>2242</v>
      </c>
      <c r="C794" s="2" t="s">
        <v>7</v>
      </c>
      <c r="D794" s="2" t="s">
        <v>37</v>
      </c>
      <c r="E794" s="2" t="s">
        <v>31</v>
      </c>
      <c r="F794" s="2">
        <v>54</v>
      </c>
      <c r="G794" s="2" t="s">
        <v>32</v>
      </c>
      <c r="H794" s="3" t="s">
        <v>734</v>
      </c>
      <c r="I794" s="2"/>
      <c r="J794" s="2" t="s">
        <v>8</v>
      </c>
      <c r="K794" s="2">
        <v>136735</v>
      </c>
      <c r="L794" s="2">
        <v>3</v>
      </c>
      <c r="M794" s="2">
        <v>5</v>
      </c>
      <c r="N794" s="2" t="s">
        <v>8</v>
      </c>
      <c r="O794" s="2">
        <v>20</v>
      </c>
      <c r="P794" s="2">
        <f ca="1">ROUND((IF(I794="",TODAY(),I794)-H794)/365,1)</f>
        <v>6.5</v>
      </c>
      <c r="Q794" s="2" t="str">
        <f t="shared" si="12"/>
        <v>Low</v>
      </c>
    </row>
    <row r="795" spans="1:17" x14ac:dyDescent="0.35">
      <c r="A795" s="2" t="s">
        <v>2243</v>
      </c>
      <c r="B795" s="2" t="s">
        <v>1601</v>
      </c>
      <c r="C795" s="2" t="s">
        <v>9</v>
      </c>
      <c r="D795" s="2" t="s">
        <v>77</v>
      </c>
      <c r="E795" s="2" t="s">
        <v>31</v>
      </c>
      <c r="F795" s="2">
        <v>24</v>
      </c>
      <c r="G795" s="2" t="s">
        <v>32</v>
      </c>
      <c r="H795" s="3" t="s">
        <v>406</v>
      </c>
      <c r="I795" s="3" t="s">
        <v>2244</v>
      </c>
      <c r="J795" s="2" t="s">
        <v>6</v>
      </c>
      <c r="K795" s="2">
        <v>146536</v>
      </c>
      <c r="L795" s="2">
        <v>2</v>
      </c>
      <c r="M795" s="2">
        <v>1</v>
      </c>
      <c r="N795" s="2" t="s">
        <v>6</v>
      </c>
      <c r="O795" s="2">
        <v>18</v>
      </c>
      <c r="P795" s="2">
        <f ca="1">ROUND((IF(I795="",TODAY(),I795)-H795)/365,1)</f>
        <v>4.5999999999999996</v>
      </c>
      <c r="Q795" s="2" t="str">
        <f t="shared" si="12"/>
        <v>N/A</v>
      </c>
    </row>
    <row r="796" spans="1:17" x14ac:dyDescent="0.35">
      <c r="A796" s="2" t="s">
        <v>2245</v>
      </c>
      <c r="B796" s="2" t="s">
        <v>2246</v>
      </c>
      <c r="C796" s="2" t="s">
        <v>5</v>
      </c>
      <c r="D796" s="2" t="s">
        <v>102</v>
      </c>
      <c r="E796" s="2" t="s">
        <v>31</v>
      </c>
      <c r="F796" s="2">
        <v>29</v>
      </c>
      <c r="G796" s="2" t="s">
        <v>56</v>
      </c>
      <c r="H796" s="3" t="s">
        <v>2247</v>
      </c>
      <c r="I796" s="2"/>
      <c r="J796" s="2" t="s">
        <v>8</v>
      </c>
      <c r="K796" s="2">
        <v>35911</v>
      </c>
      <c r="L796" s="2">
        <v>3</v>
      </c>
      <c r="M796" s="2">
        <v>5</v>
      </c>
      <c r="N796" s="2" t="s">
        <v>8</v>
      </c>
      <c r="O796" s="2">
        <v>21</v>
      </c>
      <c r="P796" s="2">
        <f ca="1">ROUND((IF(I796="",TODAY(),I796)-H796)/365,1)</f>
        <v>11.6</v>
      </c>
      <c r="Q796" s="2" t="str">
        <f t="shared" si="12"/>
        <v>Low</v>
      </c>
    </row>
    <row r="797" spans="1:17" x14ac:dyDescent="0.35">
      <c r="A797" s="2" t="s">
        <v>2248</v>
      </c>
      <c r="B797" s="2" t="s">
        <v>2249</v>
      </c>
      <c r="C797" s="2" t="s">
        <v>9</v>
      </c>
      <c r="D797" s="2" t="s">
        <v>77</v>
      </c>
      <c r="E797" s="2" t="s">
        <v>31</v>
      </c>
      <c r="F797" s="2">
        <v>40</v>
      </c>
      <c r="G797" s="2" t="s">
        <v>78</v>
      </c>
      <c r="H797" s="3" t="s">
        <v>2250</v>
      </c>
      <c r="I797" s="3" t="s">
        <v>227</v>
      </c>
      <c r="J797" s="2" t="s">
        <v>6</v>
      </c>
      <c r="K797" s="2">
        <v>120745</v>
      </c>
      <c r="L797" s="2">
        <v>3</v>
      </c>
      <c r="M797" s="2">
        <v>1</v>
      </c>
      <c r="N797" s="2" t="s">
        <v>8</v>
      </c>
      <c r="O797" s="2">
        <v>15</v>
      </c>
      <c r="P797" s="2">
        <f ca="1">ROUND((IF(I797="",TODAY(),I797)-H797)/365,1)</f>
        <v>0.3</v>
      </c>
      <c r="Q797" s="2" t="str">
        <f t="shared" si="12"/>
        <v>N/A</v>
      </c>
    </row>
    <row r="798" spans="1:17" x14ac:dyDescent="0.35">
      <c r="A798" s="2" t="s">
        <v>2251</v>
      </c>
      <c r="B798" s="2" t="s">
        <v>621</v>
      </c>
      <c r="C798" s="2" t="s">
        <v>11</v>
      </c>
      <c r="D798" s="2" t="s">
        <v>98</v>
      </c>
      <c r="E798" s="2" t="s">
        <v>31</v>
      </c>
      <c r="F798" s="2">
        <v>57</v>
      </c>
      <c r="G798" s="2" t="s">
        <v>56</v>
      </c>
      <c r="H798" s="3" t="s">
        <v>635</v>
      </c>
      <c r="I798" s="2"/>
      <c r="J798" s="2" t="s">
        <v>8</v>
      </c>
      <c r="K798" s="2">
        <v>51728</v>
      </c>
      <c r="L798" s="2">
        <v>3</v>
      </c>
      <c r="M798" s="2">
        <v>2</v>
      </c>
      <c r="N798" s="2" t="s">
        <v>8</v>
      </c>
      <c r="O798" s="2">
        <v>18</v>
      </c>
      <c r="P798" s="2">
        <f ca="1">ROUND((IF(I798="",TODAY(),I798)-H798)/365,1)</f>
        <v>9.3000000000000007</v>
      </c>
      <c r="Q798" s="2" t="str">
        <f t="shared" si="12"/>
        <v>Medium</v>
      </c>
    </row>
    <row r="799" spans="1:17" x14ac:dyDescent="0.35">
      <c r="A799" s="2" t="s">
        <v>2252</v>
      </c>
      <c r="B799" s="2" t="s">
        <v>296</v>
      </c>
      <c r="C799" s="2" t="s">
        <v>10</v>
      </c>
      <c r="D799" s="2" t="s">
        <v>111</v>
      </c>
      <c r="E799" s="2" t="s">
        <v>46</v>
      </c>
      <c r="F799" s="2">
        <v>45</v>
      </c>
      <c r="G799" s="2" t="s">
        <v>32</v>
      </c>
      <c r="H799" s="3" t="s">
        <v>2253</v>
      </c>
      <c r="I799" s="2"/>
      <c r="J799" s="2" t="s">
        <v>8</v>
      </c>
      <c r="K799" s="2">
        <v>85213</v>
      </c>
      <c r="L799" s="2">
        <v>4</v>
      </c>
      <c r="M799" s="2">
        <v>1</v>
      </c>
      <c r="N799" s="2" t="s">
        <v>8</v>
      </c>
      <c r="O799" s="2">
        <v>12</v>
      </c>
      <c r="P799" s="2">
        <f ca="1">ROUND((IF(I799="",TODAY(),I799)-H799)/365,1)</f>
        <v>9.9</v>
      </c>
      <c r="Q799" s="2" t="str">
        <f t="shared" si="12"/>
        <v>Medium</v>
      </c>
    </row>
    <row r="800" spans="1:17" x14ac:dyDescent="0.35">
      <c r="A800" s="2" t="s">
        <v>2254</v>
      </c>
      <c r="B800" s="2" t="s">
        <v>309</v>
      </c>
      <c r="C800" s="2" t="s">
        <v>7</v>
      </c>
      <c r="D800" s="2" t="s">
        <v>155</v>
      </c>
      <c r="E800" s="2" t="s">
        <v>46</v>
      </c>
      <c r="F800" s="2">
        <v>23</v>
      </c>
      <c r="G800" s="2" t="s">
        <v>32</v>
      </c>
      <c r="H800" s="3" t="s">
        <v>2255</v>
      </c>
      <c r="I800" s="3" t="s">
        <v>2256</v>
      </c>
      <c r="J800" s="2" t="s">
        <v>6</v>
      </c>
      <c r="K800" s="2">
        <v>104668</v>
      </c>
      <c r="L800" s="2">
        <v>4</v>
      </c>
      <c r="M800" s="2">
        <v>2</v>
      </c>
      <c r="N800" s="2" t="s">
        <v>6</v>
      </c>
      <c r="O800" s="2">
        <v>44</v>
      </c>
      <c r="P800" s="2">
        <f ca="1">ROUND((IF(I800="",TODAY(),I800)-H800)/365,1)</f>
        <v>1</v>
      </c>
      <c r="Q800" s="2" t="str">
        <f t="shared" si="12"/>
        <v>N/A</v>
      </c>
    </row>
    <row r="801" spans="1:17" x14ac:dyDescent="0.35">
      <c r="A801" s="2" t="s">
        <v>2257</v>
      </c>
      <c r="B801" s="2" t="s">
        <v>2258</v>
      </c>
      <c r="C801" s="2" t="s">
        <v>10</v>
      </c>
      <c r="D801" s="2" t="s">
        <v>111</v>
      </c>
      <c r="E801" s="2" t="s">
        <v>46</v>
      </c>
      <c r="F801" s="2">
        <v>55</v>
      </c>
      <c r="G801" s="2" t="s">
        <v>78</v>
      </c>
      <c r="H801" s="3" t="s">
        <v>2259</v>
      </c>
      <c r="I801" s="3" t="s">
        <v>2260</v>
      </c>
      <c r="J801" s="2" t="s">
        <v>6</v>
      </c>
      <c r="K801" s="2">
        <v>74528</v>
      </c>
      <c r="L801" s="2">
        <v>5</v>
      </c>
      <c r="M801" s="2">
        <v>1</v>
      </c>
      <c r="N801" s="2" t="s">
        <v>8</v>
      </c>
      <c r="O801" s="2">
        <v>7</v>
      </c>
      <c r="P801" s="2">
        <f ca="1">ROUND((IF(I801="",TODAY(),I801)-H801)/365,1)</f>
        <v>9.4</v>
      </c>
      <c r="Q801" s="2" t="str">
        <f t="shared" si="12"/>
        <v>N/A</v>
      </c>
    </row>
    <row r="802" spans="1:17" x14ac:dyDescent="0.35">
      <c r="A802" s="2" t="s">
        <v>2261</v>
      </c>
      <c r="B802" s="2" t="s">
        <v>771</v>
      </c>
      <c r="C802" s="2" t="s">
        <v>5</v>
      </c>
      <c r="D802" s="2" t="s">
        <v>102</v>
      </c>
      <c r="E802" s="2" t="s">
        <v>31</v>
      </c>
      <c r="F802" s="2">
        <v>27</v>
      </c>
      <c r="G802" s="2" t="s">
        <v>32</v>
      </c>
      <c r="H802" s="3" t="s">
        <v>2262</v>
      </c>
      <c r="I802" s="2"/>
      <c r="J802" s="2" t="s">
        <v>8</v>
      </c>
      <c r="K802" s="2">
        <v>128764</v>
      </c>
      <c r="L802" s="2">
        <v>1</v>
      </c>
      <c r="M802" s="2">
        <v>5</v>
      </c>
      <c r="N802" s="2" t="s">
        <v>6</v>
      </c>
      <c r="O802" s="2">
        <v>1</v>
      </c>
      <c r="P802" s="2">
        <f ca="1">ROUND((IF(I802="",TODAY(),I802)-H802)/365,1)</f>
        <v>8.6</v>
      </c>
      <c r="Q802" s="2" t="str">
        <f t="shared" si="12"/>
        <v>Medium</v>
      </c>
    </row>
    <row r="803" spans="1:17" x14ac:dyDescent="0.35">
      <c r="A803" s="2" t="s">
        <v>2263</v>
      </c>
      <c r="B803" s="2" t="s">
        <v>2264</v>
      </c>
      <c r="C803" s="2" t="s">
        <v>9</v>
      </c>
      <c r="D803" s="2" t="s">
        <v>77</v>
      </c>
      <c r="E803" s="2" t="s">
        <v>31</v>
      </c>
      <c r="F803" s="2">
        <v>52</v>
      </c>
      <c r="G803" s="2" t="s">
        <v>78</v>
      </c>
      <c r="H803" s="3" t="s">
        <v>2265</v>
      </c>
      <c r="I803" s="3" t="s">
        <v>2266</v>
      </c>
      <c r="J803" s="2" t="s">
        <v>6</v>
      </c>
      <c r="K803" s="2">
        <v>68483</v>
      </c>
      <c r="L803" s="2">
        <v>2</v>
      </c>
      <c r="M803" s="2">
        <v>4</v>
      </c>
      <c r="N803" s="2" t="s">
        <v>8</v>
      </c>
      <c r="O803" s="2">
        <v>20</v>
      </c>
      <c r="P803" s="2">
        <f ca="1">ROUND((IF(I803="",TODAY(),I803)-H803)/365,1)</f>
        <v>0.5</v>
      </c>
      <c r="Q803" s="2" t="str">
        <f t="shared" si="12"/>
        <v>N/A</v>
      </c>
    </row>
    <row r="804" spans="1:17" x14ac:dyDescent="0.35">
      <c r="A804" s="2" t="s">
        <v>2267</v>
      </c>
      <c r="B804" s="2" t="s">
        <v>1894</v>
      </c>
      <c r="C804" s="2" t="s">
        <v>11</v>
      </c>
      <c r="D804" s="2" t="s">
        <v>98</v>
      </c>
      <c r="E804" s="2" t="s">
        <v>46</v>
      </c>
      <c r="F804" s="2">
        <v>23</v>
      </c>
      <c r="G804" s="2" t="s">
        <v>78</v>
      </c>
      <c r="H804" s="3" t="s">
        <v>2268</v>
      </c>
      <c r="I804" s="3" t="s">
        <v>2269</v>
      </c>
      <c r="J804" s="2" t="s">
        <v>6</v>
      </c>
      <c r="K804" s="2">
        <v>92048</v>
      </c>
      <c r="L804" s="2">
        <v>3</v>
      </c>
      <c r="M804" s="2">
        <v>5</v>
      </c>
      <c r="N804" s="2" t="s">
        <v>6</v>
      </c>
      <c r="O804" s="2">
        <v>7</v>
      </c>
      <c r="P804" s="2">
        <f ca="1">ROUND((IF(I804="",TODAY(),I804)-H804)/365,1)</f>
        <v>0.8</v>
      </c>
      <c r="Q804" s="2" t="str">
        <f t="shared" si="12"/>
        <v>N/A</v>
      </c>
    </row>
    <row r="805" spans="1:17" x14ac:dyDescent="0.35">
      <c r="A805" s="2" t="s">
        <v>2270</v>
      </c>
      <c r="B805" s="2" t="s">
        <v>538</v>
      </c>
      <c r="C805" s="2" t="s">
        <v>5</v>
      </c>
      <c r="D805" s="2" t="s">
        <v>94</v>
      </c>
      <c r="E805" s="2" t="s">
        <v>46</v>
      </c>
      <c r="F805" s="2">
        <v>44</v>
      </c>
      <c r="G805" s="2" t="s">
        <v>32</v>
      </c>
      <c r="H805" s="3" t="s">
        <v>2271</v>
      </c>
      <c r="I805" s="3" t="s">
        <v>2272</v>
      </c>
      <c r="J805" s="2" t="s">
        <v>6</v>
      </c>
      <c r="K805" s="2">
        <v>47224</v>
      </c>
      <c r="L805" s="2">
        <v>1</v>
      </c>
      <c r="M805" s="2">
        <v>4</v>
      </c>
      <c r="N805" s="2" t="s">
        <v>6</v>
      </c>
      <c r="O805" s="2">
        <v>32</v>
      </c>
      <c r="P805" s="2">
        <f ca="1">ROUND((IF(I805="",TODAY(),I805)-H805)/365,1)</f>
        <v>1.7</v>
      </c>
      <c r="Q805" s="2" t="str">
        <f t="shared" si="12"/>
        <v>N/A</v>
      </c>
    </row>
    <row r="806" spans="1:17" x14ac:dyDescent="0.35">
      <c r="A806" s="2" t="s">
        <v>2273</v>
      </c>
      <c r="B806" s="2" t="s">
        <v>1634</v>
      </c>
      <c r="C806" s="2" t="s">
        <v>9</v>
      </c>
      <c r="D806" s="2" t="s">
        <v>51</v>
      </c>
      <c r="E806" s="2" t="s">
        <v>46</v>
      </c>
      <c r="F806" s="2">
        <v>27</v>
      </c>
      <c r="G806" s="2" t="s">
        <v>78</v>
      </c>
      <c r="H806" s="3" t="s">
        <v>2274</v>
      </c>
      <c r="I806" s="2"/>
      <c r="J806" s="2" t="s">
        <v>8</v>
      </c>
      <c r="K806" s="2">
        <v>94531</v>
      </c>
      <c r="L806" s="2">
        <v>2</v>
      </c>
      <c r="M806" s="2">
        <v>2</v>
      </c>
      <c r="N806" s="2" t="s">
        <v>6</v>
      </c>
      <c r="O806" s="2">
        <v>28</v>
      </c>
      <c r="P806" s="2">
        <f ca="1">ROUND((IF(I806="",TODAY(),I806)-H806)/365,1)</f>
        <v>1.6</v>
      </c>
      <c r="Q806" s="2" t="str">
        <f t="shared" si="12"/>
        <v>High</v>
      </c>
    </row>
    <row r="807" spans="1:17" x14ac:dyDescent="0.35">
      <c r="A807" s="2" t="s">
        <v>2275</v>
      </c>
      <c r="B807" s="2" t="s">
        <v>1305</v>
      </c>
      <c r="C807" s="2" t="s">
        <v>12</v>
      </c>
      <c r="D807" s="2" t="s">
        <v>133</v>
      </c>
      <c r="E807" s="2" t="s">
        <v>31</v>
      </c>
      <c r="F807" s="2">
        <v>40</v>
      </c>
      <c r="G807" s="2" t="s">
        <v>78</v>
      </c>
      <c r="H807" s="3" t="s">
        <v>2276</v>
      </c>
      <c r="I807" s="2"/>
      <c r="J807" s="2" t="s">
        <v>8</v>
      </c>
      <c r="K807" s="2">
        <v>73380</v>
      </c>
      <c r="L807" s="2">
        <v>4</v>
      </c>
      <c r="M807" s="2">
        <v>3</v>
      </c>
      <c r="N807" s="2" t="s">
        <v>8</v>
      </c>
      <c r="O807" s="2">
        <v>43</v>
      </c>
      <c r="P807" s="2">
        <f ca="1">ROUND((IF(I807="",TODAY(),I807)-H807)/365,1)</f>
        <v>7.7</v>
      </c>
      <c r="Q807" s="2" t="str">
        <f t="shared" si="12"/>
        <v>Low</v>
      </c>
    </row>
    <row r="808" spans="1:17" x14ac:dyDescent="0.35">
      <c r="A808" s="2" t="s">
        <v>2277</v>
      </c>
      <c r="B808" s="2" t="s">
        <v>1651</v>
      </c>
      <c r="C808" s="2" t="s">
        <v>12</v>
      </c>
      <c r="D808" s="2" t="s">
        <v>30</v>
      </c>
      <c r="E808" s="2" t="s">
        <v>31</v>
      </c>
      <c r="F808" s="2">
        <v>42</v>
      </c>
      <c r="G808" s="2" t="s">
        <v>78</v>
      </c>
      <c r="H808" s="3" t="s">
        <v>2278</v>
      </c>
      <c r="I808" s="2"/>
      <c r="J808" s="2" t="s">
        <v>8</v>
      </c>
      <c r="K808" s="2">
        <v>100739</v>
      </c>
      <c r="L808" s="2">
        <v>1</v>
      </c>
      <c r="M808" s="2">
        <v>4</v>
      </c>
      <c r="N808" s="2" t="s">
        <v>8</v>
      </c>
      <c r="O808" s="2">
        <v>8</v>
      </c>
      <c r="P808" s="2">
        <f ca="1">ROUND((IF(I808="",TODAY(),I808)-H808)/365,1)</f>
        <v>10</v>
      </c>
      <c r="Q808" s="2" t="str">
        <f t="shared" si="12"/>
        <v>Low</v>
      </c>
    </row>
    <row r="809" spans="1:17" x14ac:dyDescent="0.35">
      <c r="A809" s="2" t="s">
        <v>2279</v>
      </c>
      <c r="B809" s="2" t="s">
        <v>2280</v>
      </c>
      <c r="C809" s="2" t="s">
        <v>9</v>
      </c>
      <c r="D809" s="2" t="s">
        <v>51</v>
      </c>
      <c r="E809" s="2" t="s">
        <v>31</v>
      </c>
      <c r="F809" s="2">
        <v>33</v>
      </c>
      <c r="G809" s="2" t="s">
        <v>56</v>
      </c>
      <c r="H809" s="3" t="s">
        <v>2281</v>
      </c>
      <c r="I809" s="2"/>
      <c r="J809" s="2" t="s">
        <v>8</v>
      </c>
      <c r="K809" s="2">
        <v>88083</v>
      </c>
      <c r="L809" s="2">
        <v>4</v>
      </c>
      <c r="M809" s="2">
        <v>3</v>
      </c>
      <c r="N809" s="2" t="s">
        <v>8</v>
      </c>
      <c r="O809" s="2">
        <v>28</v>
      </c>
      <c r="P809" s="2">
        <f ca="1">ROUND((IF(I809="",TODAY(),I809)-H809)/365,1)</f>
        <v>3</v>
      </c>
      <c r="Q809" s="2" t="str">
        <f t="shared" si="12"/>
        <v>Low</v>
      </c>
    </row>
    <row r="810" spans="1:17" x14ac:dyDescent="0.35">
      <c r="A810" s="2" t="s">
        <v>2282</v>
      </c>
      <c r="B810" s="2" t="s">
        <v>2173</v>
      </c>
      <c r="C810" s="2" t="s">
        <v>11</v>
      </c>
      <c r="D810" s="2" t="s">
        <v>98</v>
      </c>
      <c r="E810" s="2" t="s">
        <v>46</v>
      </c>
      <c r="F810" s="2">
        <v>46</v>
      </c>
      <c r="G810" s="2" t="s">
        <v>56</v>
      </c>
      <c r="H810" s="3" t="s">
        <v>2283</v>
      </c>
      <c r="I810" s="2"/>
      <c r="J810" s="2" t="s">
        <v>8</v>
      </c>
      <c r="K810" s="2">
        <v>94792</v>
      </c>
      <c r="L810" s="2">
        <v>5</v>
      </c>
      <c r="M810" s="2">
        <v>5</v>
      </c>
      <c r="N810" s="2" t="s">
        <v>8</v>
      </c>
      <c r="O810" s="2">
        <v>32</v>
      </c>
      <c r="P810" s="2">
        <f ca="1">ROUND((IF(I810="",TODAY(),I810)-H810)/365,1)</f>
        <v>6.9</v>
      </c>
      <c r="Q810" s="2" t="str">
        <f t="shared" si="12"/>
        <v>Low</v>
      </c>
    </row>
    <row r="811" spans="1:17" x14ac:dyDescent="0.35">
      <c r="A811" s="2" t="s">
        <v>2284</v>
      </c>
      <c r="B811" s="2" t="s">
        <v>363</v>
      </c>
      <c r="C811" s="2" t="s">
        <v>10</v>
      </c>
      <c r="D811" s="2" t="s">
        <v>111</v>
      </c>
      <c r="E811" s="2" t="s">
        <v>46</v>
      </c>
      <c r="F811" s="2">
        <v>36</v>
      </c>
      <c r="G811" s="2" t="s">
        <v>32</v>
      </c>
      <c r="H811" s="3" t="s">
        <v>2285</v>
      </c>
      <c r="I811" s="2"/>
      <c r="J811" s="2" t="s">
        <v>8</v>
      </c>
      <c r="K811" s="2">
        <v>136489</v>
      </c>
      <c r="L811" s="2">
        <v>1</v>
      </c>
      <c r="M811" s="2">
        <v>3</v>
      </c>
      <c r="N811" s="2" t="s">
        <v>6</v>
      </c>
      <c r="O811" s="2">
        <v>14</v>
      </c>
      <c r="P811" s="2">
        <f ca="1">ROUND((IF(I811="",TODAY(),I811)-H811)/365,1)</f>
        <v>3.7</v>
      </c>
      <c r="Q811" s="2" t="str">
        <f t="shared" si="12"/>
        <v>Medium</v>
      </c>
    </row>
    <row r="812" spans="1:17" x14ac:dyDescent="0.35">
      <c r="A812" s="2" t="s">
        <v>2286</v>
      </c>
      <c r="B812" s="2" t="s">
        <v>2287</v>
      </c>
      <c r="C812" s="2" t="s">
        <v>10</v>
      </c>
      <c r="D812" s="2" t="s">
        <v>111</v>
      </c>
      <c r="E812" s="2" t="s">
        <v>31</v>
      </c>
      <c r="F812" s="2">
        <v>45</v>
      </c>
      <c r="G812" s="2" t="s">
        <v>56</v>
      </c>
      <c r="H812" s="3" t="s">
        <v>2288</v>
      </c>
      <c r="I812" s="2"/>
      <c r="J812" s="2" t="s">
        <v>8</v>
      </c>
      <c r="K812" s="2">
        <v>43892</v>
      </c>
      <c r="L812" s="2">
        <v>3</v>
      </c>
      <c r="M812" s="2">
        <v>2</v>
      </c>
      <c r="N812" s="2" t="s">
        <v>8</v>
      </c>
      <c r="O812" s="2">
        <v>30</v>
      </c>
      <c r="P812" s="2">
        <f ca="1">ROUND((IF(I812="",TODAY(),I812)-H812)/365,1)</f>
        <v>2.1</v>
      </c>
      <c r="Q812" s="2" t="str">
        <f t="shared" si="12"/>
        <v>Medium</v>
      </c>
    </row>
    <row r="813" spans="1:17" x14ac:dyDescent="0.35">
      <c r="A813" s="2" t="s">
        <v>2289</v>
      </c>
      <c r="B813" s="2" t="s">
        <v>2290</v>
      </c>
      <c r="C813" s="2" t="s">
        <v>10</v>
      </c>
      <c r="D813" s="2" t="s">
        <v>111</v>
      </c>
      <c r="E813" s="2" t="s">
        <v>31</v>
      </c>
      <c r="F813" s="2">
        <v>30</v>
      </c>
      <c r="G813" s="2" t="s">
        <v>78</v>
      </c>
      <c r="H813" s="3" t="s">
        <v>2291</v>
      </c>
      <c r="I813" s="2"/>
      <c r="J813" s="2" t="s">
        <v>8</v>
      </c>
      <c r="K813" s="2">
        <v>116242</v>
      </c>
      <c r="L813" s="2">
        <v>4</v>
      </c>
      <c r="M813" s="2">
        <v>2</v>
      </c>
      <c r="N813" s="2" t="s">
        <v>8</v>
      </c>
      <c r="O813" s="2">
        <v>2</v>
      </c>
      <c r="P813" s="2">
        <f ca="1">ROUND((IF(I813="",TODAY(),I813)-H813)/365,1)</f>
        <v>10.3</v>
      </c>
      <c r="Q813" s="2" t="str">
        <f t="shared" si="12"/>
        <v>Medium</v>
      </c>
    </row>
    <row r="814" spans="1:17" x14ac:dyDescent="0.35">
      <c r="A814" s="2" t="s">
        <v>2292</v>
      </c>
      <c r="B814" s="2" t="s">
        <v>710</v>
      </c>
      <c r="C814" s="2" t="s">
        <v>12</v>
      </c>
      <c r="D814" s="2" t="s">
        <v>30</v>
      </c>
      <c r="E814" s="2" t="s">
        <v>31</v>
      </c>
      <c r="F814" s="2">
        <v>32</v>
      </c>
      <c r="G814" s="2" t="s">
        <v>32</v>
      </c>
      <c r="H814" s="3" t="s">
        <v>2293</v>
      </c>
      <c r="I814" s="2"/>
      <c r="J814" s="2" t="s">
        <v>8</v>
      </c>
      <c r="K814" s="2">
        <v>35101</v>
      </c>
      <c r="L814" s="2">
        <v>1</v>
      </c>
      <c r="M814" s="2">
        <v>2</v>
      </c>
      <c r="N814" s="2" t="s">
        <v>6</v>
      </c>
      <c r="O814" s="2">
        <v>16</v>
      </c>
      <c r="P814" s="2">
        <f ca="1">ROUND((IF(I814="",TODAY(),I814)-H814)/365,1)</f>
        <v>11.3</v>
      </c>
      <c r="Q814" s="2" t="str">
        <f t="shared" si="12"/>
        <v>High</v>
      </c>
    </row>
    <row r="815" spans="1:17" x14ac:dyDescent="0.35">
      <c r="A815" s="2" t="s">
        <v>2294</v>
      </c>
      <c r="B815" s="2" t="s">
        <v>2295</v>
      </c>
      <c r="C815" s="2" t="s">
        <v>10</v>
      </c>
      <c r="D815" s="2" t="s">
        <v>111</v>
      </c>
      <c r="E815" s="2" t="s">
        <v>31</v>
      </c>
      <c r="F815" s="2">
        <v>55</v>
      </c>
      <c r="G815" s="2" t="s">
        <v>56</v>
      </c>
      <c r="H815" s="3" t="s">
        <v>2029</v>
      </c>
      <c r="I815" s="2"/>
      <c r="J815" s="2" t="s">
        <v>8</v>
      </c>
      <c r="K815" s="2">
        <v>83192</v>
      </c>
      <c r="L815" s="2">
        <v>4</v>
      </c>
      <c r="M815" s="2">
        <v>4</v>
      </c>
      <c r="N815" s="2" t="s">
        <v>8</v>
      </c>
      <c r="O815" s="2">
        <v>22</v>
      </c>
      <c r="P815" s="2">
        <f ca="1">ROUND((IF(I815="",TODAY(),I815)-H815)/365,1)</f>
        <v>3.8</v>
      </c>
      <c r="Q815" s="2" t="str">
        <f t="shared" si="12"/>
        <v>Low</v>
      </c>
    </row>
    <row r="816" spans="1:17" x14ac:dyDescent="0.35">
      <c r="A816" s="2" t="s">
        <v>2296</v>
      </c>
      <c r="B816" s="2" t="s">
        <v>557</v>
      </c>
      <c r="C816" s="2" t="s">
        <v>9</v>
      </c>
      <c r="D816" s="2" t="s">
        <v>51</v>
      </c>
      <c r="E816" s="2" t="s">
        <v>31</v>
      </c>
      <c r="F816" s="2">
        <v>33</v>
      </c>
      <c r="G816" s="2" t="s">
        <v>78</v>
      </c>
      <c r="H816" s="3" t="s">
        <v>2297</v>
      </c>
      <c r="I816" s="2"/>
      <c r="J816" s="2" t="s">
        <v>8</v>
      </c>
      <c r="K816" s="2">
        <v>149287</v>
      </c>
      <c r="L816" s="2">
        <v>4</v>
      </c>
      <c r="M816" s="2">
        <v>4</v>
      </c>
      <c r="N816" s="2" t="s">
        <v>6</v>
      </c>
      <c r="O816" s="2">
        <v>44</v>
      </c>
      <c r="P816" s="2">
        <f ca="1">ROUND((IF(I816="",TODAY(),I816)-H816)/365,1)</f>
        <v>6</v>
      </c>
      <c r="Q816" s="2" t="str">
        <f t="shared" si="12"/>
        <v>Medium</v>
      </c>
    </row>
    <row r="817" spans="1:17" x14ac:dyDescent="0.35">
      <c r="A817" s="2" t="s">
        <v>2298</v>
      </c>
      <c r="B817" s="2" t="s">
        <v>296</v>
      </c>
      <c r="C817" s="2" t="s">
        <v>9</v>
      </c>
      <c r="D817" s="2" t="s">
        <v>77</v>
      </c>
      <c r="E817" s="2" t="s">
        <v>46</v>
      </c>
      <c r="F817" s="2">
        <v>32</v>
      </c>
      <c r="G817" s="2" t="s">
        <v>32</v>
      </c>
      <c r="H817" s="3" t="s">
        <v>2299</v>
      </c>
      <c r="I817" s="2"/>
      <c r="J817" s="2" t="s">
        <v>8</v>
      </c>
      <c r="K817" s="2">
        <v>122404</v>
      </c>
      <c r="L817" s="2">
        <v>4</v>
      </c>
      <c r="M817" s="2">
        <v>5</v>
      </c>
      <c r="N817" s="2" t="s">
        <v>8</v>
      </c>
      <c r="O817" s="2">
        <v>9</v>
      </c>
      <c r="P817" s="2">
        <f ca="1">ROUND((IF(I817="",TODAY(),I817)-H817)/365,1)</f>
        <v>8.6</v>
      </c>
      <c r="Q817" s="2" t="str">
        <f t="shared" si="12"/>
        <v>Low</v>
      </c>
    </row>
    <row r="818" spans="1:17" x14ac:dyDescent="0.35">
      <c r="A818" s="2" t="s">
        <v>2300</v>
      </c>
      <c r="B818" s="2" t="s">
        <v>1099</v>
      </c>
      <c r="C818" s="2" t="s">
        <v>5</v>
      </c>
      <c r="D818" s="2" t="s">
        <v>94</v>
      </c>
      <c r="E818" s="2" t="s">
        <v>46</v>
      </c>
      <c r="F818" s="2">
        <v>26</v>
      </c>
      <c r="G818" s="2" t="s">
        <v>78</v>
      </c>
      <c r="H818" s="3" t="s">
        <v>2301</v>
      </c>
      <c r="I818" s="2"/>
      <c r="J818" s="2" t="s">
        <v>8</v>
      </c>
      <c r="K818" s="2">
        <v>109133</v>
      </c>
      <c r="L818" s="2">
        <v>3</v>
      </c>
      <c r="M818" s="2">
        <v>4</v>
      </c>
      <c r="N818" s="2" t="s">
        <v>8</v>
      </c>
      <c r="O818" s="2">
        <v>42</v>
      </c>
      <c r="P818" s="2">
        <f ca="1">ROUND((IF(I818="",TODAY(),I818)-H818)/365,1)</f>
        <v>2.4</v>
      </c>
      <c r="Q818" s="2" t="str">
        <f t="shared" si="12"/>
        <v>Low</v>
      </c>
    </row>
    <row r="819" spans="1:17" x14ac:dyDescent="0.35">
      <c r="A819" s="2" t="s">
        <v>2302</v>
      </c>
      <c r="B819" s="2" t="s">
        <v>1556</v>
      </c>
      <c r="C819" s="2" t="s">
        <v>7</v>
      </c>
      <c r="D819" s="2" t="s">
        <v>155</v>
      </c>
      <c r="E819" s="2" t="s">
        <v>46</v>
      </c>
      <c r="F819" s="2">
        <v>39</v>
      </c>
      <c r="G819" s="2" t="s">
        <v>32</v>
      </c>
      <c r="H819" s="3" t="s">
        <v>2303</v>
      </c>
      <c r="I819" s="3" t="s">
        <v>2304</v>
      </c>
      <c r="J819" s="2" t="s">
        <v>6</v>
      </c>
      <c r="K819" s="2">
        <v>28676</v>
      </c>
      <c r="L819" s="2">
        <v>5</v>
      </c>
      <c r="M819" s="2">
        <v>3</v>
      </c>
      <c r="N819" s="2" t="s">
        <v>6</v>
      </c>
      <c r="O819" s="2">
        <v>22</v>
      </c>
      <c r="P819" s="2">
        <f ca="1">ROUND((IF(I819="",TODAY(),I819)-H819)/365,1)</f>
        <v>6.2</v>
      </c>
      <c r="Q819" s="2" t="str">
        <f t="shared" si="12"/>
        <v>N/A</v>
      </c>
    </row>
    <row r="820" spans="1:17" x14ac:dyDescent="0.35">
      <c r="A820" s="2" t="s">
        <v>2305</v>
      </c>
      <c r="B820" s="2" t="s">
        <v>353</v>
      </c>
      <c r="C820" s="2" t="s">
        <v>5</v>
      </c>
      <c r="D820" s="2" t="s">
        <v>94</v>
      </c>
      <c r="E820" s="2" t="s">
        <v>31</v>
      </c>
      <c r="F820" s="2">
        <v>41</v>
      </c>
      <c r="G820" s="2" t="s">
        <v>56</v>
      </c>
      <c r="H820" s="3" t="s">
        <v>2306</v>
      </c>
      <c r="I820" s="2"/>
      <c r="J820" s="2" t="s">
        <v>8</v>
      </c>
      <c r="K820" s="2">
        <v>36146</v>
      </c>
      <c r="L820" s="2">
        <v>2</v>
      </c>
      <c r="M820" s="2">
        <v>1</v>
      </c>
      <c r="N820" s="2" t="s">
        <v>8</v>
      </c>
      <c r="O820" s="2">
        <v>18</v>
      </c>
      <c r="P820" s="2">
        <f ca="1">ROUND((IF(I820="",TODAY(),I820)-H820)/365,1)</f>
        <v>9.5</v>
      </c>
      <c r="Q820" s="2" t="str">
        <f t="shared" si="12"/>
        <v>Medium</v>
      </c>
    </row>
    <row r="821" spans="1:17" x14ac:dyDescent="0.35">
      <c r="A821" s="2" t="s">
        <v>2307</v>
      </c>
      <c r="B821" s="2" t="s">
        <v>93</v>
      </c>
      <c r="C821" s="2" t="s">
        <v>11</v>
      </c>
      <c r="D821" s="2" t="s">
        <v>66</v>
      </c>
      <c r="E821" s="2" t="s">
        <v>31</v>
      </c>
      <c r="F821" s="2">
        <v>27</v>
      </c>
      <c r="G821" s="2" t="s">
        <v>32</v>
      </c>
      <c r="H821" s="3" t="s">
        <v>2308</v>
      </c>
      <c r="I821" s="2"/>
      <c r="J821" s="2" t="s">
        <v>8</v>
      </c>
      <c r="K821" s="2">
        <v>90564</v>
      </c>
      <c r="L821" s="2">
        <v>3</v>
      </c>
      <c r="M821" s="2">
        <v>3</v>
      </c>
      <c r="N821" s="2" t="s">
        <v>6</v>
      </c>
      <c r="O821" s="2">
        <v>26</v>
      </c>
      <c r="P821" s="2">
        <f ca="1">ROUND((IF(I821="",TODAY(),I821)-H821)/365,1)</f>
        <v>8.1</v>
      </c>
      <c r="Q821" s="2" t="str">
        <f t="shared" si="12"/>
        <v>Medium</v>
      </c>
    </row>
    <row r="822" spans="1:17" x14ac:dyDescent="0.35">
      <c r="A822" s="2" t="s">
        <v>2309</v>
      </c>
      <c r="B822" s="2" t="s">
        <v>584</v>
      </c>
      <c r="C822" s="2" t="s">
        <v>10</v>
      </c>
      <c r="D822" s="2" t="s">
        <v>70</v>
      </c>
      <c r="E822" s="2" t="s">
        <v>46</v>
      </c>
      <c r="F822" s="2">
        <v>43</v>
      </c>
      <c r="G822" s="2" t="s">
        <v>32</v>
      </c>
      <c r="H822" s="3" t="s">
        <v>2310</v>
      </c>
      <c r="I822" s="3" t="s">
        <v>1853</v>
      </c>
      <c r="J822" s="2" t="s">
        <v>6</v>
      </c>
      <c r="K822" s="2">
        <v>130839</v>
      </c>
      <c r="L822" s="2">
        <v>1</v>
      </c>
      <c r="M822" s="2">
        <v>5</v>
      </c>
      <c r="N822" s="2" t="s">
        <v>8</v>
      </c>
      <c r="O822" s="2">
        <v>33</v>
      </c>
      <c r="P822" s="2">
        <f ca="1">ROUND((IF(I822="",TODAY(),I822)-H822)/365,1)</f>
        <v>4.5</v>
      </c>
      <c r="Q822" s="2" t="str">
        <f t="shared" si="12"/>
        <v>N/A</v>
      </c>
    </row>
    <row r="823" spans="1:17" x14ac:dyDescent="0.35">
      <c r="A823" s="2" t="s">
        <v>2311</v>
      </c>
      <c r="B823" s="2" t="s">
        <v>1328</v>
      </c>
      <c r="C823" s="2" t="s">
        <v>10</v>
      </c>
      <c r="D823" s="2" t="s">
        <v>70</v>
      </c>
      <c r="E823" s="2" t="s">
        <v>31</v>
      </c>
      <c r="F823" s="2">
        <v>31</v>
      </c>
      <c r="G823" s="2" t="s">
        <v>56</v>
      </c>
      <c r="H823" s="3" t="s">
        <v>2312</v>
      </c>
      <c r="I823" s="2"/>
      <c r="J823" s="2" t="s">
        <v>8</v>
      </c>
      <c r="K823" s="2">
        <v>130837</v>
      </c>
      <c r="L823" s="2">
        <v>2</v>
      </c>
      <c r="M823" s="2">
        <v>1</v>
      </c>
      <c r="N823" s="2" t="s">
        <v>8</v>
      </c>
      <c r="O823" s="2">
        <v>14</v>
      </c>
      <c r="P823" s="2">
        <f ca="1">ROUND((IF(I823="",TODAY(),I823)-H823)/365,1)</f>
        <v>4</v>
      </c>
      <c r="Q823" s="2" t="str">
        <f t="shared" si="12"/>
        <v>Medium</v>
      </c>
    </row>
    <row r="824" spans="1:17" x14ac:dyDescent="0.35">
      <c r="A824" s="2" t="s">
        <v>2313</v>
      </c>
      <c r="B824" s="2" t="s">
        <v>220</v>
      </c>
      <c r="C824" s="2" t="s">
        <v>12</v>
      </c>
      <c r="D824" s="2" t="s">
        <v>30</v>
      </c>
      <c r="E824" s="2" t="s">
        <v>46</v>
      </c>
      <c r="F824" s="2">
        <v>43</v>
      </c>
      <c r="G824" s="2" t="s">
        <v>32</v>
      </c>
      <c r="H824" s="3" t="s">
        <v>2314</v>
      </c>
      <c r="I824" s="2"/>
      <c r="J824" s="2" t="s">
        <v>8</v>
      </c>
      <c r="K824" s="2">
        <v>75807</v>
      </c>
      <c r="L824" s="2">
        <v>1</v>
      </c>
      <c r="M824" s="2">
        <v>4</v>
      </c>
      <c r="N824" s="2" t="s">
        <v>8</v>
      </c>
      <c r="O824" s="2">
        <v>44</v>
      </c>
      <c r="P824" s="2">
        <f ca="1">ROUND((IF(I824="",TODAY(),I824)-H824)/365,1)</f>
        <v>8.3000000000000007</v>
      </c>
      <c r="Q824" s="2" t="str">
        <f t="shared" si="12"/>
        <v>Low</v>
      </c>
    </row>
    <row r="825" spans="1:17" x14ac:dyDescent="0.35">
      <c r="A825" s="2" t="s">
        <v>2315</v>
      </c>
      <c r="B825" s="2" t="s">
        <v>1456</v>
      </c>
      <c r="C825" s="2" t="s">
        <v>11</v>
      </c>
      <c r="D825" s="2" t="s">
        <v>98</v>
      </c>
      <c r="E825" s="2" t="s">
        <v>31</v>
      </c>
      <c r="F825" s="2">
        <v>53</v>
      </c>
      <c r="G825" s="2" t="s">
        <v>32</v>
      </c>
      <c r="H825" s="3" t="s">
        <v>2316</v>
      </c>
      <c r="I825" s="2"/>
      <c r="J825" s="2" t="s">
        <v>8</v>
      </c>
      <c r="K825" s="2">
        <v>138709</v>
      </c>
      <c r="L825" s="2">
        <v>3</v>
      </c>
      <c r="M825" s="2">
        <v>2</v>
      </c>
      <c r="N825" s="2" t="s">
        <v>8</v>
      </c>
      <c r="O825" s="2">
        <v>36</v>
      </c>
      <c r="P825" s="2">
        <f ca="1">ROUND((IF(I825="",TODAY(),I825)-H825)/365,1)</f>
        <v>10.5</v>
      </c>
      <c r="Q825" s="2" t="str">
        <f t="shared" si="12"/>
        <v>Medium</v>
      </c>
    </row>
    <row r="826" spans="1:17" x14ac:dyDescent="0.35">
      <c r="A826" s="2" t="s">
        <v>2317</v>
      </c>
      <c r="B826" s="2" t="s">
        <v>1328</v>
      </c>
      <c r="C826" s="2" t="s">
        <v>10</v>
      </c>
      <c r="D826" s="2" t="s">
        <v>258</v>
      </c>
      <c r="E826" s="2" t="s">
        <v>31</v>
      </c>
      <c r="F826" s="2">
        <v>26</v>
      </c>
      <c r="G826" s="2" t="s">
        <v>56</v>
      </c>
      <c r="H826" s="3" t="s">
        <v>2227</v>
      </c>
      <c r="I826" s="2"/>
      <c r="J826" s="2" t="s">
        <v>8</v>
      </c>
      <c r="K826" s="2">
        <v>48486</v>
      </c>
      <c r="L826" s="2">
        <v>1</v>
      </c>
      <c r="M826" s="2">
        <v>3</v>
      </c>
      <c r="N826" s="2" t="s">
        <v>8</v>
      </c>
      <c r="O826" s="2">
        <v>5</v>
      </c>
      <c r="P826" s="2">
        <f ca="1">ROUND((IF(I826="",TODAY(),I826)-H826)/365,1)</f>
        <v>8.5</v>
      </c>
      <c r="Q826" s="2" t="str">
        <f t="shared" si="12"/>
        <v>Low</v>
      </c>
    </row>
    <row r="827" spans="1:17" x14ac:dyDescent="0.35">
      <c r="A827" s="2" t="s">
        <v>2318</v>
      </c>
      <c r="B827" s="2" t="s">
        <v>220</v>
      </c>
      <c r="C827" s="2" t="s">
        <v>9</v>
      </c>
      <c r="D827" s="2" t="s">
        <v>41</v>
      </c>
      <c r="E827" s="2" t="s">
        <v>46</v>
      </c>
      <c r="F827" s="2">
        <v>29</v>
      </c>
      <c r="G827" s="2" t="s">
        <v>56</v>
      </c>
      <c r="H827" s="3" t="s">
        <v>2319</v>
      </c>
      <c r="I827" s="2"/>
      <c r="J827" s="2" t="s">
        <v>8</v>
      </c>
      <c r="K827" s="2">
        <v>78612</v>
      </c>
      <c r="L827" s="2">
        <v>3</v>
      </c>
      <c r="M827" s="2">
        <v>3</v>
      </c>
      <c r="N827" s="2" t="s">
        <v>8</v>
      </c>
      <c r="O827" s="2">
        <v>26</v>
      </c>
      <c r="P827" s="2">
        <f ca="1">ROUND((IF(I827="",TODAY(),I827)-H827)/365,1)</f>
        <v>5.2</v>
      </c>
      <c r="Q827" s="2" t="str">
        <f t="shared" si="12"/>
        <v>Low</v>
      </c>
    </row>
    <row r="828" spans="1:17" x14ac:dyDescent="0.35">
      <c r="A828" s="2" t="s">
        <v>2320</v>
      </c>
      <c r="B828" s="2" t="s">
        <v>86</v>
      </c>
      <c r="C828" s="2" t="s">
        <v>7</v>
      </c>
      <c r="D828" s="2" t="s">
        <v>125</v>
      </c>
      <c r="E828" s="2" t="s">
        <v>46</v>
      </c>
      <c r="F828" s="2">
        <v>42</v>
      </c>
      <c r="G828" s="2" t="s">
        <v>56</v>
      </c>
      <c r="H828" s="3" t="s">
        <v>2321</v>
      </c>
      <c r="I828" s="3" t="s">
        <v>2322</v>
      </c>
      <c r="J828" s="2" t="s">
        <v>6</v>
      </c>
      <c r="K828" s="2">
        <v>59449</v>
      </c>
      <c r="L828" s="2">
        <v>5</v>
      </c>
      <c r="M828" s="2">
        <v>4</v>
      </c>
      <c r="N828" s="2" t="s">
        <v>6</v>
      </c>
      <c r="O828" s="2">
        <v>29</v>
      </c>
      <c r="P828" s="2">
        <f ca="1">ROUND((IF(I828="",TODAY(),I828)-H828)/365,1)</f>
        <v>7.4</v>
      </c>
      <c r="Q828" s="2" t="str">
        <f t="shared" si="12"/>
        <v>N/A</v>
      </c>
    </row>
    <row r="829" spans="1:17" x14ac:dyDescent="0.35">
      <c r="A829" s="2" t="s">
        <v>2323</v>
      </c>
      <c r="B829" s="2" t="s">
        <v>2324</v>
      </c>
      <c r="C829" s="2" t="s">
        <v>5</v>
      </c>
      <c r="D829" s="2" t="s">
        <v>102</v>
      </c>
      <c r="E829" s="2" t="s">
        <v>31</v>
      </c>
      <c r="F829" s="2">
        <v>31</v>
      </c>
      <c r="G829" s="2" t="s">
        <v>32</v>
      </c>
      <c r="H829" s="3" t="s">
        <v>2325</v>
      </c>
      <c r="I829" s="3" t="s">
        <v>2326</v>
      </c>
      <c r="J829" s="2" t="s">
        <v>6</v>
      </c>
      <c r="K829" s="2">
        <v>77334</v>
      </c>
      <c r="L829" s="2">
        <v>2</v>
      </c>
      <c r="M829" s="2">
        <v>4</v>
      </c>
      <c r="N829" s="2" t="s">
        <v>6</v>
      </c>
      <c r="O829" s="2">
        <v>37</v>
      </c>
      <c r="P829" s="2">
        <f ca="1">ROUND((IF(I829="",TODAY(),I829)-H829)/365,1)</f>
        <v>1.5</v>
      </c>
      <c r="Q829" s="2" t="str">
        <f t="shared" si="12"/>
        <v>N/A</v>
      </c>
    </row>
    <row r="830" spans="1:17" x14ac:dyDescent="0.35">
      <c r="A830" s="2" t="s">
        <v>2327</v>
      </c>
      <c r="B830" s="2" t="s">
        <v>2328</v>
      </c>
      <c r="C830" s="2" t="s">
        <v>12</v>
      </c>
      <c r="D830" s="2" t="s">
        <v>30</v>
      </c>
      <c r="E830" s="2" t="s">
        <v>46</v>
      </c>
      <c r="F830" s="2">
        <v>56</v>
      </c>
      <c r="G830" s="2" t="s">
        <v>32</v>
      </c>
      <c r="H830" s="3" t="s">
        <v>2329</v>
      </c>
      <c r="I830" s="2"/>
      <c r="J830" s="2" t="s">
        <v>8</v>
      </c>
      <c r="K830" s="2">
        <v>120915</v>
      </c>
      <c r="L830" s="2">
        <v>1</v>
      </c>
      <c r="M830" s="2">
        <v>1</v>
      </c>
      <c r="N830" s="2" t="s">
        <v>8</v>
      </c>
      <c r="O830" s="2">
        <v>12</v>
      </c>
      <c r="P830" s="2">
        <f ca="1">ROUND((IF(I830="",TODAY(),I830)-H830)/365,1)</f>
        <v>1.5</v>
      </c>
      <c r="Q830" s="2" t="str">
        <f t="shared" si="12"/>
        <v>Medium</v>
      </c>
    </row>
    <row r="831" spans="1:17" x14ac:dyDescent="0.35">
      <c r="A831" s="2" t="s">
        <v>2330</v>
      </c>
      <c r="B831" s="2" t="s">
        <v>1190</v>
      </c>
      <c r="C831" s="2" t="s">
        <v>10</v>
      </c>
      <c r="D831" s="2" t="s">
        <v>258</v>
      </c>
      <c r="E831" s="2" t="s">
        <v>31</v>
      </c>
      <c r="F831" s="2">
        <v>26</v>
      </c>
      <c r="G831" s="2" t="s">
        <v>56</v>
      </c>
      <c r="H831" s="3" t="s">
        <v>2331</v>
      </c>
      <c r="I831" s="2"/>
      <c r="J831" s="2" t="s">
        <v>8</v>
      </c>
      <c r="K831" s="2">
        <v>117050</v>
      </c>
      <c r="L831" s="2">
        <v>4</v>
      </c>
      <c r="M831" s="2">
        <v>5</v>
      </c>
      <c r="N831" s="2" t="s">
        <v>6</v>
      </c>
      <c r="O831" s="2">
        <v>14</v>
      </c>
      <c r="P831" s="2">
        <f ca="1">ROUND((IF(I831="",TODAY(),I831)-H831)/365,1)</f>
        <v>8.1</v>
      </c>
      <c r="Q831" s="2" t="str">
        <f t="shared" si="12"/>
        <v>Medium</v>
      </c>
    </row>
    <row r="832" spans="1:17" x14ac:dyDescent="0.35">
      <c r="A832" s="2" t="s">
        <v>2332</v>
      </c>
      <c r="B832" s="2" t="s">
        <v>1915</v>
      </c>
      <c r="C832" s="2" t="s">
        <v>9</v>
      </c>
      <c r="D832" s="2" t="s">
        <v>41</v>
      </c>
      <c r="E832" s="2" t="s">
        <v>31</v>
      </c>
      <c r="F832" s="2">
        <v>52</v>
      </c>
      <c r="G832" s="2" t="s">
        <v>78</v>
      </c>
      <c r="H832" s="3" t="s">
        <v>2333</v>
      </c>
      <c r="I832" s="3" t="s">
        <v>2334</v>
      </c>
      <c r="J832" s="2" t="s">
        <v>6</v>
      </c>
      <c r="K832" s="2">
        <v>103784</v>
      </c>
      <c r="L832" s="2">
        <v>5</v>
      </c>
      <c r="M832" s="2">
        <v>3</v>
      </c>
      <c r="N832" s="2" t="s">
        <v>8</v>
      </c>
      <c r="O832" s="2">
        <v>3</v>
      </c>
      <c r="P832" s="2">
        <f ca="1">ROUND((IF(I832="",TODAY(),I832)-H832)/365,1)</f>
        <v>9.1999999999999993</v>
      </c>
      <c r="Q832" s="2" t="str">
        <f t="shared" si="12"/>
        <v>N/A</v>
      </c>
    </row>
    <row r="833" spans="1:17" x14ac:dyDescent="0.35">
      <c r="A833" s="2" t="s">
        <v>2335</v>
      </c>
      <c r="B833" s="2" t="s">
        <v>1171</v>
      </c>
      <c r="C833" s="2" t="s">
        <v>9</v>
      </c>
      <c r="D833" s="2" t="s">
        <v>41</v>
      </c>
      <c r="E833" s="2" t="s">
        <v>46</v>
      </c>
      <c r="F833" s="2">
        <v>35</v>
      </c>
      <c r="G833" s="2" t="s">
        <v>32</v>
      </c>
      <c r="H833" s="3" t="s">
        <v>2336</v>
      </c>
      <c r="I833" s="3" t="s">
        <v>1043</v>
      </c>
      <c r="J833" s="2" t="s">
        <v>6</v>
      </c>
      <c r="K833" s="2">
        <v>108320</v>
      </c>
      <c r="L833" s="2">
        <v>3</v>
      </c>
      <c r="M833" s="2">
        <v>4</v>
      </c>
      <c r="N833" s="2" t="s">
        <v>6</v>
      </c>
      <c r="O833" s="2">
        <v>17</v>
      </c>
      <c r="P833" s="2">
        <f ca="1">ROUND((IF(I833="",TODAY(),I833)-H833)/365,1)</f>
        <v>0.4</v>
      </c>
      <c r="Q833" s="2" t="str">
        <f t="shared" si="12"/>
        <v>N/A</v>
      </c>
    </row>
    <row r="834" spans="1:17" x14ac:dyDescent="0.35">
      <c r="A834" s="2" t="s">
        <v>2337</v>
      </c>
      <c r="B834" s="2" t="s">
        <v>1804</v>
      </c>
      <c r="C834" s="2" t="s">
        <v>9</v>
      </c>
      <c r="D834" s="2" t="s">
        <v>41</v>
      </c>
      <c r="E834" s="2" t="s">
        <v>31</v>
      </c>
      <c r="F834" s="2">
        <v>48</v>
      </c>
      <c r="G834" s="2" t="s">
        <v>78</v>
      </c>
      <c r="H834" s="3" t="s">
        <v>2338</v>
      </c>
      <c r="I834" s="2"/>
      <c r="J834" s="2" t="s">
        <v>8</v>
      </c>
      <c r="K834" s="2">
        <v>37116</v>
      </c>
      <c r="L834" s="2">
        <v>2</v>
      </c>
      <c r="M834" s="2">
        <v>3</v>
      </c>
      <c r="N834" s="2" t="s">
        <v>6</v>
      </c>
      <c r="O834" s="2">
        <v>4</v>
      </c>
      <c r="P834" s="2">
        <f ca="1">ROUND((IF(I834="",TODAY(),I834)-H834)/365,1)</f>
        <v>5.7</v>
      </c>
      <c r="Q834" s="2" t="str">
        <f t="shared" ref="Q834:Q897" si="13">IF(J834="No",IF(AND(M834&lt;=2,N834="Yes"),"High",IF(OR(M834&lt;=2,N834="Yes"),"Medium","Low")),"N/A")</f>
        <v>Medium</v>
      </c>
    </row>
    <row r="835" spans="1:17" x14ac:dyDescent="0.35">
      <c r="A835" s="2" t="s">
        <v>2339</v>
      </c>
      <c r="B835" s="2" t="s">
        <v>164</v>
      </c>
      <c r="C835" s="2" t="s">
        <v>9</v>
      </c>
      <c r="D835" s="2" t="s">
        <v>51</v>
      </c>
      <c r="E835" s="2" t="s">
        <v>31</v>
      </c>
      <c r="F835" s="2">
        <v>52</v>
      </c>
      <c r="G835" s="2" t="s">
        <v>56</v>
      </c>
      <c r="H835" s="3" t="s">
        <v>2340</v>
      </c>
      <c r="I835" s="2"/>
      <c r="J835" s="2" t="s">
        <v>8</v>
      </c>
      <c r="K835" s="2">
        <v>144616</v>
      </c>
      <c r="L835" s="2">
        <v>4</v>
      </c>
      <c r="M835" s="2">
        <v>2</v>
      </c>
      <c r="N835" s="2" t="s">
        <v>8</v>
      </c>
      <c r="O835" s="2">
        <v>23</v>
      </c>
      <c r="P835" s="2">
        <f ca="1">ROUND((IF(I835="",TODAY(),I835)-H835)/365,1)</f>
        <v>6.3</v>
      </c>
      <c r="Q835" s="2" t="str">
        <f t="shared" si="13"/>
        <v>Medium</v>
      </c>
    </row>
    <row r="836" spans="1:17" x14ac:dyDescent="0.35">
      <c r="A836" s="2" t="s">
        <v>2341</v>
      </c>
      <c r="B836" s="2" t="s">
        <v>1939</v>
      </c>
      <c r="C836" s="2" t="s">
        <v>5</v>
      </c>
      <c r="D836" s="2" t="s">
        <v>102</v>
      </c>
      <c r="E836" s="2" t="s">
        <v>31</v>
      </c>
      <c r="F836" s="2">
        <v>31</v>
      </c>
      <c r="G836" s="2" t="s">
        <v>78</v>
      </c>
      <c r="H836" s="3" t="s">
        <v>2342</v>
      </c>
      <c r="I836" s="2"/>
      <c r="J836" s="2" t="s">
        <v>8</v>
      </c>
      <c r="K836" s="2">
        <v>142506</v>
      </c>
      <c r="L836" s="2">
        <v>1</v>
      </c>
      <c r="M836" s="2">
        <v>3</v>
      </c>
      <c r="N836" s="2" t="s">
        <v>8</v>
      </c>
      <c r="O836" s="2">
        <v>10</v>
      </c>
      <c r="P836" s="2">
        <f ca="1">ROUND((IF(I836="",TODAY(),I836)-H836)/365,1)</f>
        <v>8</v>
      </c>
      <c r="Q836" s="2" t="str">
        <f t="shared" si="13"/>
        <v>Low</v>
      </c>
    </row>
    <row r="837" spans="1:17" x14ac:dyDescent="0.35">
      <c r="A837" s="2" t="s">
        <v>2343</v>
      </c>
      <c r="B837" s="2" t="s">
        <v>2344</v>
      </c>
      <c r="C837" s="2" t="s">
        <v>10</v>
      </c>
      <c r="D837" s="2" t="s">
        <v>258</v>
      </c>
      <c r="E837" s="2" t="s">
        <v>31</v>
      </c>
      <c r="F837" s="2">
        <v>55</v>
      </c>
      <c r="G837" s="2" t="s">
        <v>56</v>
      </c>
      <c r="H837" s="3" t="s">
        <v>2345</v>
      </c>
      <c r="I837" s="2"/>
      <c r="J837" s="2" t="s">
        <v>8</v>
      </c>
      <c r="K837" s="2">
        <v>83894</v>
      </c>
      <c r="L837" s="2">
        <v>2</v>
      </c>
      <c r="M837" s="2">
        <v>4</v>
      </c>
      <c r="N837" s="2" t="s">
        <v>6</v>
      </c>
      <c r="O837" s="2">
        <v>41</v>
      </c>
      <c r="P837" s="2">
        <f ca="1">ROUND((IF(I837="",TODAY(),I837)-H837)/365,1)</f>
        <v>3.5</v>
      </c>
      <c r="Q837" s="2" t="str">
        <f t="shared" si="13"/>
        <v>Medium</v>
      </c>
    </row>
    <row r="838" spans="1:17" x14ac:dyDescent="0.35">
      <c r="A838" s="2" t="s">
        <v>2346</v>
      </c>
      <c r="B838" s="2" t="s">
        <v>1088</v>
      </c>
      <c r="C838" s="2" t="s">
        <v>5</v>
      </c>
      <c r="D838" s="2" t="s">
        <v>94</v>
      </c>
      <c r="E838" s="2" t="s">
        <v>31</v>
      </c>
      <c r="F838" s="2">
        <v>56</v>
      </c>
      <c r="G838" s="2" t="s">
        <v>32</v>
      </c>
      <c r="H838" s="3" t="s">
        <v>889</v>
      </c>
      <c r="I838" s="2"/>
      <c r="J838" s="2" t="s">
        <v>8</v>
      </c>
      <c r="K838" s="2">
        <v>52494</v>
      </c>
      <c r="L838" s="2">
        <v>2</v>
      </c>
      <c r="M838" s="2">
        <v>4</v>
      </c>
      <c r="N838" s="2" t="s">
        <v>6</v>
      </c>
      <c r="O838" s="2">
        <v>23</v>
      </c>
      <c r="P838" s="2">
        <f ca="1">ROUND((IF(I838="",TODAY(),I838)-H838)/365,1)</f>
        <v>2.9</v>
      </c>
      <c r="Q838" s="2" t="str">
        <f t="shared" si="13"/>
        <v>Medium</v>
      </c>
    </row>
    <row r="839" spans="1:17" x14ac:dyDescent="0.35">
      <c r="A839" s="2" t="s">
        <v>2347</v>
      </c>
      <c r="B839" s="2" t="s">
        <v>1861</v>
      </c>
      <c r="C839" s="2" t="s">
        <v>11</v>
      </c>
      <c r="D839" s="2" t="s">
        <v>45</v>
      </c>
      <c r="E839" s="2" t="s">
        <v>46</v>
      </c>
      <c r="F839" s="2">
        <v>41</v>
      </c>
      <c r="G839" s="2" t="s">
        <v>78</v>
      </c>
      <c r="H839" s="3" t="s">
        <v>2348</v>
      </c>
      <c r="I839" s="3" t="s">
        <v>2349</v>
      </c>
      <c r="J839" s="2" t="s">
        <v>6</v>
      </c>
      <c r="K839" s="2">
        <v>84768</v>
      </c>
      <c r="L839" s="2">
        <v>4</v>
      </c>
      <c r="M839" s="2">
        <v>1</v>
      </c>
      <c r="N839" s="2" t="s">
        <v>6</v>
      </c>
      <c r="O839" s="2">
        <v>42</v>
      </c>
      <c r="P839" s="2">
        <f ca="1">ROUND((IF(I839="",TODAY(),I839)-H839)/365,1)</f>
        <v>0.7</v>
      </c>
      <c r="Q839" s="2" t="str">
        <f t="shared" si="13"/>
        <v>N/A</v>
      </c>
    </row>
    <row r="840" spans="1:17" x14ac:dyDescent="0.35">
      <c r="A840" s="2" t="s">
        <v>2350</v>
      </c>
      <c r="B840" s="2" t="s">
        <v>2351</v>
      </c>
      <c r="C840" s="2" t="s">
        <v>11</v>
      </c>
      <c r="D840" s="2" t="s">
        <v>66</v>
      </c>
      <c r="E840" s="2" t="s">
        <v>46</v>
      </c>
      <c r="F840" s="2">
        <v>51</v>
      </c>
      <c r="G840" s="2" t="s">
        <v>78</v>
      </c>
      <c r="H840" s="3" t="s">
        <v>2352</v>
      </c>
      <c r="I840" s="2"/>
      <c r="J840" s="2" t="s">
        <v>8</v>
      </c>
      <c r="K840" s="2">
        <v>96141</v>
      </c>
      <c r="L840" s="2">
        <v>5</v>
      </c>
      <c r="M840" s="2">
        <v>5</v>
      </c>
      <c r="N840" s="2" t="s">
        <v>8</v>
      </c>
      <c r="O840" s="2">
        <v>11</v>
      </c>
      <c r="P840" s="2">
        <f ca="1">ROUND((IF(I840="",TODAY(),I840)-H840)/365,1)</f>
        <v>6.8</v>
      </c>
      <c r="Q840" s="2" t="str">
        <f t="shared" si="13"/>
        <v>Low</v>
      </c>
    </row>
    <row r="841" spans="1:17" x14ac:dyDescent="0.35">
      <c r="A841" s="2" t="s">
        <v>2353</v>
      </c>
      <c r="B841" s="2" t="s">
        <v>1817</v>
      </c>
      <c r="C841" s="2" t="s">
        <v>12</v>
      </c>
      <c r="D841" s="2" t="s">
        <v>55</v>
      </c>
      <c r="E841" s="2" t="s">
        <v>46</v>
      </c>
      <c r="F841" s="2">
        <v>28</v>
      </c>
      <c r="G841" s="2" t="s">
        <v>56</v>
      </c>
      <c r="H841" s="3" t="s">
        <v>2354</v>
      </c>
      <c r="I841" s="2"/>
      <c r="J841" s="2" t="s">
        <v>8</v>
      </c>
      <c r="K841" s="2">
        <v>27153</v>
      </c>
      <c r="L841" s="2">
        <v>1</v>
      </c>
      <c r="M841" s="2">
        <v>1</v>
      </c>
      <c r="N841" s="2" t="s">
        <v>8</v>
      </c>
      <c r="O841" s="2">
        <v>42</v>
      </c>
      <c r="P841" s="2">
        <f ca="1">ROUND((IF(I841="",TODAY(),I841)-H841)/365,1)</f>
        <v>10.6</v>
      </c>
      <c r="Q841" s="2" t="str">
        <f t="shared" si="13"/>
        <v>Medium</v>
      </c>
    </row>
    <row r="842" spans="1:17" x14ac:dyDescent="0.35">
      <c r="A842" s="2" t="s">
        <v>2355</v>
      </c>
      <c r="B842" s="2" t="s">
        <v>2356</v>
      </c>
      <c r="C842" s="2" t="s">
        <v>5</v>
      </c>
      <c r="D842" s="2" t="s">
        <v>207</v>
      </c>
      <c r="E842" s="2" t="s">
        <v>31</v>
      </c>
      <c r="F842" s="2">
        <v>24</v>
      </c>
      <c r="G842" s="2" t="s">
        <v>78</v>
      </c>
      <c r="H842" s="3" t="s">
        <v>2357</v>
      </c>
      <c r="I842" s="2"/>
      <c r="J842" s="2" t="s">
        <v>8</v>
      </c>
      <c r="K842" s="2">
        <v>126827</v>
      </c>
      <c r="L842" s="2">
        <v>2</v>
      </c>
      <c r="M842" s="2">
        <v>4</v>
      </c>
      <c r="N842" s="2" t="s">
        <v>6</v>
      </c>
      <c r="O842" s="2">
        <v>15</v>
      </c>
      <c r="P842" s="2">
        <f ca="1">ROUND((IF(I842="",TODAY(),I842)-H842)/365,1)</f>
        <v>4.0999999999999996</v>
      </c>
      <c r="Q842" s="2" t="str">
        <f t="shared" si="13"/>
        <v>Medium</v>
      </c>
    </row>
    <row r="843" spans="1:17" x14ac:dyDescent="0.35">
      <c r="A843" s="2" t="s">
        <v>2358</v>
      </c>
      <c r="B843" s="2" t="s">
        <v>1634</v>
      </c>
      <c r="C843" s="2" t="s">
        <v>5</v>
      </c>
      <c r="D843" s="2" t="s">
        <v>94</v>
      </c>
      <c r="E843" s="2" t="s">
        <v>46</v>
      </c>
      <c r="F843" s="2">
        <v>51</v>
      </c>
      <c r="G843" s="2" t="s">
        <v>32</v>
      </c>
      <c r="H843" s="3" t="s">
        <v>2359</v>
      </c>
      <c r="I843" s="2"/>
      <c r="J843" s="2" t="s">
        <v>8</v>
      </c>
      <c r="K843" s="2">
        <v>127524</v>
      </c>
      <c r="L843" s="2">
        <v>1</v>
      </c>
      <c r="M843" s="2">
        <v>4</v>
      </c>
      <c r="N843" s="2" t="s">
        <v>8</v>
      </c>
      <c r="O843" s="2">
        <v>24</v>
      </c>
      <c r="P843" s="2">
        <f ca="1">ROUND((IF(I843="",TODAY(),I843)-H843)/365,1)</f>
        <v>7</v>
      </c>
      <c r="Q843" s="2" t="str">
        <f t="shared" si="13"/>
        <v>Low</v>
      </c>
    </row>
    <row r="844" spans="1:17" x14ac:dyDescent="0.35">
      <c r="A844" s="2" t="s">
        <v>2360</v>
      </c>
      <c r="B844" s="2" t="s">
        <v>1671</v>
      </c>
      <c r="C844" s="2" t="s">
        <v>9</v>
      </c>
      <c r="D844" s="2" t="s">
        <v>77</v>
      </c>
      <c r="E844" s="2" t="s">
        <v>46</v>
      </c>
      <c r="F844" s="2">
        <v>37</v>
      </c>
      <c r="G844" s="2" t="s">
        <v>32</v>
      </c>
      <c r="H844" s="3" t="s">
        <v>2361</v>
      </c>
      <c r="I844" s="2"/>
      <c r="J844" s="2" t="s">
        <v>8</v>
      </c>
      <c r="K844" s="2">
        <v>28440</v>
      </c>
      <c r="L844" s="2">
        <v>1</v>
      </c>
      <c r="M844" s="2">
        <v>4</v>
      </c>
      <c r="N844" s="2" t="s">
        <v>8</v>
      </c>
      <c r="O844" s="2">
        <v>1</v>
      </c>
      <c r="P844" s="2">
        <f ca="1">ROUND((IF(I844="",TODAY(),I844)-H844)/365,1)</f>
        <v>11.6</v>
      </c>
      <c r="Q844" s="2" t="str">
        <f t="shared" si="13"/>
        <v>Low</v>
      </c>
    </row>
    <row r="845" spans="1:17" x14ac:dyDescent="0.35">
      <c r="A845" s="2" t="s">
        <v>2362</v>
      </c>
      <c r="B845" s="2" t="s">
        <v>2363</v>
      </c>
      <c r="C845" s="2" t="s">
        <v>11</v>
      </c>
      <c r="D845" s="2" t="s">
        <v>98</v>
      </c>
      <c r="E845" s="2" t="s">
        <v>46</v>
      </c>
      <c r="F845" s="2">
        <v>58</v>
      </c>
      <c r="G845" s="2" t="s">
        <v>78</v>
      </c>
      <c r="H845" s="3" t="s">
        <v>2364</v>
      </c>
      <c r="I845" s="2"/>
      <c r="J845" s="2" t="s">
        <v>8</v>
      </c>
      <c r="K845" s="2">
        <v>109467</v>
      </c>
      <c r="L845" s="2">
        <v>2</v>
      </c>
      <c r="M845" s="2">
        <v>4</v>
      </c>
      <c r="N845" s="2" t="s">
        <v>6</v>
      </c>
      <c r="O845" s="2">
        <v>40</v>
      </c>
      <c r="P845" s="2">
        <f ca="1">ROUND((IF(I845="",TODAY(),I845)-H845)/365,1)</f>
        <v>6.8</v>
      </c>
      <c r="Q845" s="2" t="str">
        <f t="shared" si="13"/>
        <v>Medium</v>
      </c>
    </row>
    <row r="846" spans="1:17" x14ac:dyDescent="0.35">
      <c r="A846" s="2" t="s">
        <v>2365</v>
      </c>
      <c r="B846" s="2" t="s">
        <v>904</v>
      </c>
      <c r="C846" s="2" t="s">
        <v>11</v>
      </c>
      <c r="D846" s="2" t="s">
        <v>66</v>
      </c>
      <c r="E846" s="2" t="s">
        <v>31</v>
      </c>
      <c r="F846" s="2">
        <v>47</v>
      </c>
      <c r="G846" s="2" t="s">
        <v>56</v>
      </c>
      <c r="H846" s="3" t="s">
        <v>2366</v>
      </c>
      <c r="I846" s="2"/>
      <c r="J846" s="2" t="s">
        <v>8</v>
      </c>
      <c r="K846" s="2">
        <v>38051</v>
      </c>
      <c r="L846" s="2">
        <v>4</v>
      </c>
      <c r="M846" s="2">
        <v>2</v>
      </c>
      <c r="N846" s="2" t="s">
        <v>6</v>
      </c>
      <c r="O846" s="2">
        <v>15</v>
      </c>
      <c r="P846" s="2">
        <f ca="1">ROUND((IF(I846="",TODAY(),I846)-H846)/365,1)</f>
        <v>1.5</v>
      </c>
      <c r="Q846" s="2" t="str">
        <f t="shared" si="13"/>
        <v>High</v>
      </c>
    </row>
    <row r="847" spans="1:17" x14ac:dyDescent="0.35">
      <c r="A847" s="2" t="s">
        <v>2367</v>
      </c>
      <c r="B847" s="2" t="s">
        <v>2368</v>
      </c>
      <c r="C847" s="2" t="s">
        <v>11</v>
      </c>
      <c r="D847" s="2" t="s">
        <v>45</v>
      </c>
      <c r="E847" s="2" t="s">
        <v>46</v>
      </c>
      <c r="F847" s="2">
        <v>32</v>
      </c>
      <c r="G847" s="2" t="s">
        <v>56</v>
      </c>
      <c r="H847" s="3" t="s">
        <v>2369</v>
      </c>
      <c r="I847" s="2"/>
      <c r="J847" s="2" t="s">
        <v>8</v>
      </c>
      <c r="K847" s="2">
        <v>26512</v>
      </c>
      <c r="L847" s="2">
        <v>1</v>
      </c>
      <c r="M847" s="2">
        <v>1</v>
      </c>
      <c r="N847" s="2" t="s">
        <v>6</v>
      </c>
      <c r="O847" s="2">
        <v>28</v>
      </c>
      <c r="P847" s="2">
        <f ca="1">ROUND((IF(I847="",TODAY(),I847)-H847)/365,1)</f>
        <v>8</v>
      </c>
      <c r="Q847" s="2" t="str">
        <f t="shared" si="13"/>
        <v>High</v>
      </c>
    </row>
    <row r="848" spans="1:17" x14ac:dyDescent="0.35">
      <c r="A848" s="2" t="s">
        <v>2370</v>
      </c>
      <c r="B848" s="2" t="s">
        <v>195</v>
      </c>
      <c r="C848" s="2" t="s">
        <v>7</v>
      </c>
      <c r="D848" s="2" t="s">
        <v>155</v>
      </c>
      <c r="E848" s="2" t="s">
        <v>31</v>
      </c>
      <c r="F848" s="2">
        <v>23</v>
      </c>
      <c r="G848" s="2" t="s">
        <v>56</v>
      </c>
      <c r="H848" s="3" t="s">
        <v>2371</v>
      </c>
      <c r="I848" s="2"/>
      <c r="J848" s="2" t="s">
        <v>8</v>
      </c>
      <c r="K848" s="2">
        <v>56420</v>
      </c>
      <c r="L848" s="2">
        <v>3</v>
      </c>
      <c r="M848" s="2">
        <v>4</v>
      </c>
      <c r="N848" s="2" t="s">
        <v>8</v>
      </c>
      <c r="O848" s="2">
        <v>12</v>
      </c>
      <c r="P848" s="2">
        <f ca="1">ROUND((IF(I848="",TODAY(),I848)-H848)/365,1)</f>
        <v>3.3</v>
      </c>
      <c r="Q848" s="2" t="str">
        <f t="shared" si="13"/>
        <v>Low</v>
      </c>
    </row>
    <row r="849" spans="1:17" x14ac:dyDescent="0.35">
      <c r="A849" s="2" t="s">
        <v>2372</v>
      </c>
      <c r="B849" s="2" t="s">
        <v>621</v>
      </c>
      <c r="C849" s="2" t="s">
        <v>9</v>
      </c>
      <c r="D849" s="2" t="s">
        <v>51</v>
      </c>
      <c r="E849" s="2" t="s">
        <v>31</v>
      </c>
      <c r="F849" s="2">
        <v>25</v>
      </c>
      <c r="G849" s="2" t="s">
        <v>32</v>
      </c>
      <c r="H849" s="3" t="s">
        <v>2373</v>
      </c>
      <c r="I849" s="3" t="s">
        <v>2374</v>
      </c>
      <c r="J849" s="2" t="s">
        <v>6</v>
      </c>
      <c r="K849" s="2">
        <v>100937</v>
      </c>
      <c r="L849" s="2">
        <v>1</v>
      </c>
      <c r="M849" s="2">
        <v>2</v>
      </c>
      <c r="N849" s="2" t="s">
        <v>6</v>
      </c>
      <c r="O849" s="2">
        <v>41</v>
      </c>
      <c r="P849" s="2">
        <f ca="1">ROUND((IF(I849="",TODAY(),I849)-H849)/365,1)</f>
        <v>6.8</v>
      </c>
      <c r="Q849" s="2" t="str">
        <f t="shared" si="13"/>
        <v>N/A</v>
      </c>
    </row>
    <row r="850" spans="1:17" x14ac:dyDescent="0.35">
      <c r="A850" s="2" t="s">
        <v>2375</v>
      </c>
      <c r="B850" s="2" t="s">
        <v>2376</v>
      </c>
      <c r="C850" s="2" t="s">
        <v>5</v>
      </c>
      <c r="D850" s="2" t="s">
        <v>94</v>
      </c>
      <c r="E850" s="2" t="s">
        <v>31</v>
      </c>
      <c r="F850" s="2">
        <v>33</v>
      </c>
      <c r="G850" s="2" t="s">
        <v>78</v>
      </c>
      <c r="H850" s="3" t="s">
        <v>2377</v>
      </c>
      <c r="I850" s="2"/>
      <c r="J850" s="2" t="s">
        <v>8</v>
      </c>
      <c r="K850" s="2">
        <v>38195</v>
      </c>
      <c r="L850" s="2">
        <v>2</v>
      </c>
      <c r="M850" s="2">
        <v>3</v>
      </c>
      <c r="N850" s="2" t="s">
        <v>6</v>
      </c>
      <c r="O850" s="2">
        <v>26</v>
      </c>
      <c r="P850" s="2">
        <f ca="1">ROUND((IF(I850="",TODAY(),I850)-H850)/365,1)</f>
        <v>10.6</v>
      </c>
      <c r="Q850" s="2" t="str">
        <f t="shared" si="13"/>
        <v>Medium</v>
      </c>
    </row>
    <row r="851" spans="1:17" x14ac:dyDescent="0.35">
      <c r="A851" s="2" t="s">
        <v>2378</v>
      </c>
      <c r="B851" s="2" t="s">
        <v>1784</v>
      </c>
      <c r="C851" s="2" t="s">
        <v>10</v>
      </c>
      <c r="D851" s="2" t="s">
        <v>111</v>
      </c>
      <c r="E851" s="2" t="s">
        <v>46</v>
      </c>
      <c r="F851" s="2">
        <v>48</v>
      </c>
      <c r="G851" s="2" t="s">
        <v>32</v>
      </c>
      <c r="H851" s="3" t="s">
        <v>2379</v>
      </c>
      <c r="I851" s="2"/>
      <c r="J851" s="2" t="s">
        <v>8</v>
      </c>
      <c r="K851" s="2">
        <v>64158</v>
      </c>
      <c r="L851" s="2">
        <v>2</v>
      </c>
      <c r="M851" s="2">
        <v>4</v>
      </c>
      <c r="N851" s="2" t="s">
        <v>8</v>
      </c>
      <c r="O851" s="2">
        <v>12</v>
      </c>
      <c r="P851" s="2">
        <f ca="1">ROUND((IF(I851="",TODAY(),I851)-H851)/365,1)</f>
        <v>7.4</v>
      </c>
      <c r="Q851" s="2" t="str">
        <f t="shared" si="13"/>
        <v>Low</v>
      </c>
    </row>
    <row r="852" spans="1:17" x14ac:dyDescent="0.35">
      <c r="A852" s="2" t="s">
        <v>2380</v>
      </c>
      <c r="B852" s="2" t="s">
        <v>2381</v>
      </c>
      <c r="C852" s="2" t="s">
        <v>12</v>
      </c>
      <c r="D852" s="2" t="s">
        <v>55</v>
      </c>
      <c r="E852" s="2" t="s">
        <v>31</v>
      </c>
      <c r="F852" s="2">
        <v>44</v>
      </c>
      <c r="G852" s="2" t="s">
        <v>56</v>
      </c>
      <c r="H852" s="3" t="s">
        <v>2382</v>
      </c>
      <c r="I852" s="2"/>
      <c r="J852" s="2" t="s">
        <v>8</v>
      </c>
      <c r="K852" s="2">
        <v>45760</v>
      </c>
      <c r="L852" s="2">
        <v>5</v>
      </c>
      <c r="M852" s="2">
        <v>5</v>
      </c>
      <c r="N852" s="2" t="s">
        <v>8</v>
      </c>
      <c r="O852" s="2">
        <v>1</v>
      </c>
      <c r="P852" s="2">
        <f ca="1">ROUND((IF(I852="",TODAY(),I852)-H852)/365,1)</f>
        <v>6.2</v>
      </c>
      <c r="Q852" s="2" t="str">
        <f t="shared" si="13"/>
        <v>Low</v>
      </c>
    </row>
    <row r="853" spans="1:17" x14ac:dyDescent="0.35">
      <c r="A853" s="2" t="s">
        <v>2383</v>
      </c>
      <c r="B853" s="2" t="s">
        <v>2324</v>
      </c>
      <c r="C853" s="2" t="s">
        <v>5</v>
      </c>
      <c r="D853" s="2" t="s">
        <v>94</v>
      </c>
      <c r="E853" s="2" t="s">
        <v>31</v>
      </c>
      <c r="F853" s="2">
        <v>55</v>
      </c>
      <c r="G853" s="2" t="s">
        <v>32</v>
      </c>
      <c r="H853" s="3" t="s">
        <v>2384</v>
      </c>
      <c r="I853" s="3" t="s">
        <v>2385</v>
      </c>
      <c r="J853" s="2" t="s">
        <v>6</v>
      </c>
      <c r="K853" s="2">
        <v>142777</v>
      </c>
      <c r="L853" s="2">
        <v>3</v>
      </c>
      <c r="M853" s="2">
        <v>2</v>
      </c>
      <c r="N853" s="2" t="s">
        <v>8</v>
      </c>
      <c r="O853" s="2">
        <v>8</v>
      </c>
      <c r="P853" s="2">
        <f ca="1">ROUND((IF(I853="",TODAY(),I853)-H853)/365,1)</f>
        <v>1.7</v>
      </c>
      <c r="Q853" s="2" t="str">
        <f t="shared" si="13"/>
        <v>N/A</v>
      </c>
    </row>
    <row r="854" spans="1:17" x14ac:dyDescent="0.35">
      <c r="A854" s="2" t="s">
        <v>2386</v>
      </c>
      <c r="B854" s="2" t="s">
        <v>2387</v>
      </c>
      <c r="C854" s="2" t="s">
        <v>7</v>
      </c>
      <c r="D854" s="2" t="s">
        <v>155</v>
      </c>
      <c r="E854" s="2" t="s">
        <v>31</v>
      </c>
      <c r="F854" s="2">
        <v>52</v>
      </c>
      <c r="G854" s="2" t="s">
        <v>78</v>
      </c>
      <c r="H854" s="3" t="s">
        <v>2388</v>
      </c>
      <c r="I854" s="2"/>
      <c r="J854" s="2" t="s">
        <v>8</v>
      </c>
      <c r="K854" s="2">
        <v>63577</v>
      </c>
      <c r="L854" s="2">
        <v>5</v>
      </c>
      <c r="M854" s="2">
        <v>3</v>
      </c>
      <c r="N854" s="2" t="s">
        <v>8</v>
      </c>
      <c r="O854" s="2">
        <v>42</v>
      </c>
      <c r="P854" s="2">
        <f ca="1">ROUND((IF(I854="",TODAY(),I854)-H854)/365,1)</f>
        <v>9.4</v>
      </c>
      <c r="Q854" s="2" t="str">
        <f t="shared" si="13"/>
        <v>Low</v>
      </c>
    </row>
    <row r="855" spans="1:17" x14ac:dyDescent="0.35">
      <c r="A855" s="2" t="s">
        <v>2389</v>
      </c>
      <c r="B855" s="2" t="s">
        <v>2390</v>
      </c>
      <c r="C855" s="2" t="s">
        <v>10</v>
      </c>
      <c r="D855" s="2" t="s">
        <v>258</v>
      </c>
      <c r="E855" s="2" t="s">
        <v>46</v>
      </c>
      <c r="F855" s="2">
        <v>33</v>
      </c>
      <c r="G855" s="2" t="s">
        <v>56</v>
      </c>
      <c r="H855" s="3" t="s">
        <v>2391</v>
      </c>
      <c r="I855" s="2"/>
      <c r="J855" s="2" t="s">
        <v>8</v>
      </c>
      <c r="K855" s="2">
        <v>101499</v>
      </c>
      <c r="L855" s="2">
        <v>4</v>
      </c>
      <c r="M855" s="2">
        <v>3</v>
      </c>
      <c r="N855" s="2" t="s">
        <v>8</v>
      </c>
      <c r="O855" s="2">
        <v>7</v>
      </c>
      <c r="P855" s="2">
        <f ca="1">ROUND((IF(I855="",TODAY(),I855)-H855)/365,1)</f>
        <v>9.4</v>
      </c>
      <c r="Q855" s="2" t="str">
        <f t="shared" si="13"/>
        <v>Low</v>
      </c>
    </row>
    <row r="856" spans="1:17" x14ac:dyDescent="0.35">
      <c r="A856" s="2" t="s">
        <v>2392</v>
      </c>
      <c r="B856" s="2" t="s">
        <v>2393</v>
      </c>
      <c r="C856" s="2" t="s">
        <v>7</v>
      </c>
      <c r="D856" s="2" t="s">
        <v>37</v>
      </c>
      <c r="E856" s="2" t="s">
        <v>46</v>
      </c>
      <c r="F856" s="2">
        <v>49</v>
      </c>
      <c r="G856" s="2" t="s">
        <v>78</v>
      </c>
      <c r="H856" s="3" t="s">
        <v>2394</v>
      </c>
      <c r="I856" s="2"/>
      <c r="J856" s="2" t="s">
        <v>8</v>
      </c>
      <c r="K856" s="2">
        <v>104599</v>
      </c>
      <c r="L856" s="2">
        <v>5</v>
      </c>
      <c r="M856" s="2">
        <v>3</v>
      </c>
      <c r="N856" s="2" t="s">
        <v>8</v>
      </c>
      <c r="O856" s="2">
        <v>7</v>
      </c>
      <c r="P856" s="2">
        <f ca="1">ROUND((IF(I856="",TODAY(),I856)-H856)/365,1)</f>
        <v>4.9000000000000004</v>
      </c>
      <c r="Q856" s="2" t="str">
        <f t="shared" si="13"/>
        <v>Low</v>
      </c>
    </row>
    <row r="857" spans="1:17" x14ac:dyDescent="0.35">
      <c r="A857" s="2" t="s">
        <v>2395</v>
      </c>
      <c r="B857" s="2" t="s">
        <v>1519</v>
      </c>
      <c r="C857" s="2" t="s">
        <v>11</v>
      </c>
      <c r="D857" s="2" t="s">
        <v>66</v>
      </c>
      <c r="E857" s="2" t="s">
        <v>46</v>
      </c>
      <c r="F857" s="2">
        <v>32</v>
      </c>
      <c r="G857" s="2" t="s">
        <v>78</v>
      </c>
      <c r="H857" s="3" t="s">
        <v>2396</v>
      </c>
      <c r="I857" s="2"/>
      <c r="J857" s="2" t="s">
        <v>8</v>
      </c>
      <c r="K857" s="2">
        <v>78714</v>
      </c>
      <c r="L857" s="2">
        <v>3</v>
      </c>
      <c r="M857" s="2">
        <v>5</v>
      </c>
      <c r="N857" s="2" t="s">
        <v>6</v>
      </c>
      <c r="O857" s="2">
        <v>38</v>
      </c>
      <c r="P857" s="2">
        <f ca="1">ROUND((IF(I857="",TODAY(),I857)-H857)/365,1)</f>
        <v>1.6</v>
      </c>
      <c r="Q857" s="2" t="str">
        <f t="shared" si="13"/>
        <v>Medium</v>
      </c>
    </row>
    <row r="858" spans="1:17" x14ac:dyDescent="0.35">
      <c r="A858" s="2" t="s">
        <v>2397</v>
      </c>
      <c r="B858" s="2" t="s">
        <v>2398</v>
      </c>
      <c r="C858" s="2" t="s">
        <v>12</v>
      </c>
      <c r="D858" s="2" t="s">
        <v>55</v>
      </c>
      <c r="E858" s="2" t="s">
        <v>46</v>
      </c>
      <c r="F858" s="2">
        <v>29</v>
      </c>
      <c r="G858" s="2" t="s">
        <v>32</v>
      </c>
      <c r="H858" s="3" t="s">
        <v>2399</v>
      </c>
      <c r="I858" s="2"/>
      <c r="J858" s="2" t="s">
        <v>8</v>
      </c>
      <c r="K858" s="2">
        <v>57154</v>
      </c>
      <c r="L858" s="2">
        <v>2</v>
      </c>
      <c r="M858" s="2">
        <v>4</v>
      </c>
      <c r="N858" s="2" t="s">
        <v>8</v>
      </c>
      <c r="O858" s="2">
        <v>23</v>
      </c>
      <c r="P858" s="2">
        <f ca="1">ROUND((IF(I858="",TODAY(),I858)-H858)/365,1)</f>
        <v>9.6</v>
      </c>
      <c r="Q858" s="2" t="str">
        <f t="shared" si="13"/>
        <v>Low</v>
      </c>
    </row>
    <row r="859" spans="1:17" x14ac:dyDescent="0.35">
      <c r="A859" s="2" t="s">
        <v>2400</v>
      </c>
      <c r="B859" s="2" t="s">
        <v>1045</v>
      </c>
      <c r="C859" s="2" t="s">
        <v>9</v>
      </c>
      <c r="D859" s="2" t="s">
        <v>41</v>
      </c>
      <c r="E859" s="2" t="s">
        <v>31</v>
      </c>
      <c r="F859" s="2">
        <v>22</v>
      </c>
      <c r="G859" s="2" t="s">
        <v>78</v>
      </c>
      <c r="H859" s="3" t="s">
        <v>2401</v>
      </c>
      <c r="I859" s="2"/>
      <c r="J859" s="2" t="s">
        <v>8</v>
      </c>
      <c r="K859" s="2">
        <v>99379</v>
      </c>
      <c r="L859" s="2">
        <v>2</v>
      </c>
      <c r="M859" s="2">
        <v>3</v>
      </c>
      <c r="N859" s="2" t="s">
        <v>8</v>
      </c>
      <c r="O859" s="2">
        <v>30</v>
      </c>
      <c r="P859" s="2">
        <f ca="1">ROUND((IF(I859="",TODAY(),I859)-H859)/365,1)</f>
        <v>8</v>
      </c>
      <c r="Q859" s="2" t="str">
        <f t="shared" si="13"/>
        <v>Low</v>
      </c>
    </row>
    <row r="860" spans="1:17" x14ac:dyDescent="0.35">
      <c r="A860" s="2" t="s">
        <v>2402</v>
      </c>
      <c r="B860" s="2" t="s">
        <v>1817</v>
      </c>
      <c r="C860" s="2" t="s">
        <v>11</v>
      </c>
      <c r="D860" s="2" t="s">
        <v>45</v>
      </c>
      <c r="E860" s="2" t="s">
        <v>46</v>
      </c>
      <c r="F860" s="2">
        <v>35</v>
      </c>
      <c r="G860" s="2" t="s">
        <v>56</v>
      </c>
      <c r="H860" s="3" t="s">
        <v>2403</v>
      </c>
      <c r="I860" s="3" t="s">
        <v>2404</v>
      </c>
      <c r="J860" s="2" t="s">
        <v>6</v>
      </c>
      <c r="K860" s="2">
        <v>149029</v>
      </c>
      <c r="L860" s="2">
        <v>3</v>
      </c>
      <c r="M860" s="2">
        <v>5</v>
      </c>
      <c r="N860" s="2" t="s">
        <v>6</v>
      </c>
      <c r="O860" s="2">
        <v>39</v>
      </c>
      <c r="P860" s="2">
        <f ca="1">ROUND((IF(I860="",TODAY(),I860)-H860)/365,1)</f>
        <v>5.2</v>
      </c>
      <c r="Q860" s="2" t="str">
        <f t="shared" si="13"/>
        <v>N/A</v>
      </c>
    </row>
    <row r="861" spans="1:17" x14ac:dyDescent="0.35">
      <c r="A861" s="2" t="s">
        <v>2405</v>
      </c>
      <c r="B861" s="2" t="s">
        <v>273</v>
      </c>
      <c r="C861" s="2" t="s">
        <v>12</v>
      </c>
      <c r="D861" s="2" t="s">
        <v>133</v>
      </c>
      <c r="E861" s="2" t="s">
        <v>46</v>
      </c>
      <c r="F861" s="2">
        <v>34</v>
      </c>
      <c r="G861" s="2" t="s">
        <v>78</v>
      </c>
      <c r="H861" s="3" t="s">
        <v>2406</v>
      </c>
      <c r="I861" s="3" t="s">
        <v>2407</v>
      </c>
      <c r="J861" s="2" t="s">
        <v>6</v>
      </c>
      <c r="K861" s="2">
        <v>60968</v>
      </c>
      <c r="L861" s="2">
        <v>4</v>
      </c>
      <c r="M861" s="2">
        <v>4</v>
      </c>
      <c r="N861" s="2" t="s">
        <v>6</v>
      </c>
      <c r="O861" s="2">
        <v>3</v>
      </c>
      <c r="P861" s="2">
        <f ca="1">ROUND((IF(I861="",TODAY(),I861)-H861)/365,1)</f>
        <v>5.2</v>
      </c>
      <c r="Q861" s="2" t="str">
        <f t="shared" si="13"/>
        <v>N/A</v>
      </c>
    </row>
    <row r="862" spans="1:17" x14ac:dyDescent="0.35">
      <c r="A862" s="2" t="s">
        <v>2408</v>
      </c>
      <c r="B862" s="2" t="s">
        <v>2409</v>
      </c>
      <c r="C862" s="2" t="s">
        <v>7</v>
      </c>
      <c r="D862" s="2" t="s">
        <v>37</v>
      </c>
      <c r="E862" s="2" t="s">
        <v>46</v>
      </c>
      <c r="F862" s="2">
        <v>37</v>
      </c>
      <c r="G862" s="2" t="s">
        <v>78</v>
      </c>
      <c r="H862" s="3" t="s">
        <v>2410</v>
      </c>
      <c r="I862" s="3" t="s">
        <v>2411</v>
      </c>
      <c r="J862" s="2" t="s">
        <v>6</v>
      </c>
      <c r="K862" s="2">
        <v>144490</v>
      </c>
      <c r="L862" s="2">
        <v>5</v>
      </c>
      <c r="M862" s="2">
        <v>1</v>
      </c>
      <c r="N862" s="2" t="s">
        <v>6</v>
      </c>
      <c r="O862" s="2">
        <v>1</v>
      </c>
      <c r="P862" s="2">
        <f ca="1">ROUND((IF(I862="",TODAY(),I862)-H862)/365,1)</f>
        <v>4.9000000000000004</v>
      </c>
      <c r="Q862" s="2" t="str">
        <f t="shared" si="13"/>
        <v>N/A</v>
      </c>
    </row>
    <row r="863" spans="1:17" x14ac:dyDescent="0.35">
      <c r="A863" s="2" t="s">
        <v>2412</v>
      </c>
      <c r="B863" s="2" t="s">
        <v>2413</v>
      </c>
      <c r="C863" s="2" t="s">
        <v>10</v>
      </c>
      <c r="D863" s="2" t="s">
        <v>111</v>
      </c>
      <c r="E863" s="2" t="s">
        <v>31</v>
      </c>
      <c r="F863" s="2">
        <v>26</v>
      </c>
      <c r="G863" s="2" t="s">
        <v>78</v>
      </c>
      <c r="H863" s="3" t="s">
        <v>2414</v>
      </c>
      <c r="I863" s="2"/>
      <c r="J863" s="2" t="s">
        <v>8</v>
      </c>
      <c r="K863" s="2">
        <v>66574</v>
      </c>
      <c r="L863" s="2">
        <v>3</v>
      </c>
      <c r="M863" s="2">
        <v>4</v>
      </c>
      <c r="N863" s="2" t="s">
        <v>6</v>
      </c>
      <c r="O863" s="2">
        <v>18</v>
      </c>
      <c r="P863" s="2">
        <f ca="1">ROUND((IF(I863="",TODAY(),I863)-H863)/365,1)</f>
        <v>6.3</v>
      </c>
      <c r="Q863" s="2" t="str">
        <f t="shared" si="13"/>
        <v>Medium</v>
      </c>
    </row>
    <row r="864" spans="1:17" x14ac:dyDescent="0.35">
      <c r="A864" s="2" t="s">
        <v>2415</v>
      </c>
      <c r="B864" s="2" t="s">
        <v>2416</v>
      </c>
      <c r="C864" s="2" t="s">
        <v>11</v>
      </c>
      <c r="D864" s="2" t="s">
        <v>66</v>
      </c>
      <c r="E864" s="2" t="s">
        <v>46</v>
      </c>
      <c r="F864" s="2">
        <v>47</v>
      </c>
      <c r="G864" s="2" t="s">
        <v>32</v>
      </c>
      <c r="H864" s="3" t="s">
        <v>1797</v>
      </c>
      <c r="I864" s="2"/>
      <c r="J864" s="2" t="s">
        <v>8</v>
      </c>
      <c r="K864" s="2">
        <v>144337</v>
      </c>
      <c r="L864" s="2">
        <v>4</v>
      </c>
      <c r="M864" s="2">
        <v>4</v>
      </c>
      <c r="N864" s="2" t="s">
        <v>8</v>
      </c>
      <c r="O864" s="2">
        <v>42</v>
      </c>
      <c r="P864" s="2">
        <f ca="1">ROUND((IF(I864="",TODAY(),I864)-H864)/365,1)</f>
        <v>8.3000000000000007</v>
      </c>
      <c r="Q864" s="2" t="str">
        <f t="shared" si="13"/>
        <v>Low</v>
      </c>
    </row>
    <row r="865" spans="1:17" x14ac:dyDescent="0.35">
      <c r="A865" s="2" t="s">
        <v>2417</v>
      </c>
      <c r="B865" s="2" t="s">
        <v>2290</v>
      </c>
      <c r="C865" s="2" t="s">
        <v>11</v>
      </c>
      <c r="D865" s="2" t="s">
        <v>45</v>
      </c>
      <c r="E865" s="2" t="s">
        <v>31</v>
      </c>
      <c r="F865" s="2">
        <v>22</v>
      </c>
      <c r="G865" s="2" t="s">
        <v>32</v>
      </c>
      <c r="H865" s="3" t="s">
        <v>2418</v>
      </c>
      <c r="I865" s="3" t="s">
        <v>2419</v>
      </c>
      <c r="J865" s="2" t="s">
        <v>6</v>
      </c>
      <c r="K865" s="2">
        <v>47307</v>
      </c>
      <c r="L865" s="2">
        <v>4</v>
      </c>
      <c r="M865" s="2">
        <v>3</v>
      </c>
      <c r="N865" s="2" t="s">
        <v>6</v>
      </c>
      <c r="O865" s="2">
        <v>15</v>
      </c>
      <c r="P865" s="2">
        <f ca="1">ROUND((IF(I865="",TODAY(),I865)-H865)/365,1)</f>
        <v>9.3000000000000007</v>
      </c>
      <c r="Q865" s="2" t="str">
        <f t="shared" si="13"/>
        <v>N/A</v>
      </c>
    </row>
    <row r="866" spans="1:17" x14ac:dyDescent="0.35">
      <c r="A866" s="2" t="s">
        <v>2420</v>
      </c>
      <c r="B866" s="2" t="s">
        <v>2100</v>
      </c>
      <c r="C866" s="2" t="s">
        <v>9</v>
      </c>
      <c r="D866" s="2" t="s">
        <v>77</v>
      </c>
      <c r="E866" s="2" t="s">
        <v>31</v>
      </c>
      <c r="F866" s="2">
        <v>24</v>
      </c>
      <c r="G866" s="2" t="s">
        <v>56</v>
      </c>
      <c r="H866" s="3" t="s">
        <v>2421</v>
      </c>
      <c r="I866" s="2"/>
      <c r="J866" s="2" t="s">
        <v>8</v>
      </c>
      <c r="K866" s="2">
        <v>68165</v>
      </c>
      <c r="L866" s="2">
        <v>1</v>
      </c>
      <c r="M866" s="2">
        <v>3</v>
      </c>
      <c r="N866" s="2" t="s">
        <v>6</v>
      </c>
      <c r="O866" s="2">
        <v>17</v>
      </c>
      <c r="P866" s="2">
        <f ca="1">ROUND((IF(I866="",TODAY(),I866)-H866)/365,1)</f>
        <v>10.4</v>
      </c>
      <c r="Q866" s="2" t="str">
        <f t="shared" si="13"/>
        <v>Medium</v>
      </c>
    </row>
    <row r="867" spans="1:17" x14ac:dyDescent="0.35">
      <c r="A867" s="2" t="s">
        <v>2422</v>
      </c>
      <c r="B867" s="2" t="s">
        <v>1456</v>
      </c>
      <c r="C867" s="2" t="s">
        <v>10</v>
      </c>
      <c r="D867" s="2" t="s">
        <v>258</v>
      </c>
      <c r="E867" s="2" t="s">
        <v>31</v>
      </c>
      <c r="F867" s="2">
        <v>51</v>
      </c>
      <c r="G867" s="2" t="s">
        <v>78</v>
      </c>
      <c r="H867" s="3" t="s">
        <v>2423</v>
      </c>
      <c r="I867" s="2"/>
      <c r="J867" s="2" t="s">
        <v>8</v>
      </c>
      <c r="K867" s="2">
        <v>108480</v>
      </c>
      <c r="L867" s="2">
        <v>5</v>
      </c>
      <c r="M867" s="2">
        <v>2</v>
      </c>
      <c r="N867" s="2" t="s">
        <v>6</v>
      </c>
      <c r="O867" s="2">
        <v>27</v>
      </c>
      <c r="P867" s="2">
        <f ca="1">ROUND((IF(I867="",TODAY(),I867)-H867)/365,1)</f>
        <v>10.3</v>
      </c>
      <c r="Q867" s="2" t="str">
        <f t="shared" si="13"/>
        <v>High</v>
      </c>
    </row>
    <row r="868" spans="1:17" x14ac:dyDescent="0.35">
      <c r="A868" s="2" t="s">
        <v>2424</v>
      </c>
      <c r="B868" s="2" t="s">
        <v>780</v>
      </c>
      <c r="C868" s="2" t="s">
        <v>11</v>
      </c>
      <c r="D868" s="2" t="s">
        <v>98</v>
      </c>
      <c r="E868" s="2" t="s">
        <v>31</v>
      </c>
      <c r="F868" s="2">
        <v>53</v>
      </c>
      <c r="G868" s="2" t="s">
        <v>78</v>
      </c>
      <c r="H868" s="3" t="s">
        <v>2224</v>
      </c>
      <c r="I868" s="2"/>
      <c r="J868" s="2" t="s">
        <v>8</v>
      </c>
      <c r="K868" s="2">
        <v>59578</v>
      </c>
      <c r="L868" s="2">
        <v>2</v>
      </c>
      <c r="M868" s="2">
        <v>4</v>
      </c>
      <c r="N868" s="2" t="s">
        <v>6</v>
      </c>
      <c r="O868" s="2">
        <v>6</v>
      </c>
      <c r="P868" s="2">
        <f ca="1">ROUND((IF(I868="",TODAY(),I868)-H868)/365,1)</f>
        <v>8.5</v>
      </c>
      <c r="Q868" s="2" t="str">
        <f t="shared" si="13"/>
        <v>Medium</v>
      </c>
    </row>
    <row r="869" spans="1:17" x14ac:dyDescent="0.35">
      <c r="A869" s="2" t="s">
        <v>2425</v>
      </c>
      <c r="B869" s="2" t="s">
        <v>192</v>
      </c>
      <c r="C869" s="2" t="s">
        <v>9</v>
      </c>
      <c r="D869" s="2" t="s">
        <v>77</v>
      </c>
      <c r="E869" s="2" t="s">
        <v>31</v>
      </c>
      <c r="F869" s="2">
        <v>26</v>
      </c>
      <c r="G869" s="2" t="s">
        <v>78</v>
      </c>
      <c r="H869" s="3" t="s">
        <v>2426</v>
      </c>
      <c r="I869" s="3" t="s">
        <v>2427</v>
      </c>
      <c r="J869" s="2" t="s">
        <v>6</v>
      </c>
      <c r="K869" s="2">
        <v>132283</v>
      </c>
      <c r="L869" s="2">
        <v>2</v>
      </c>
      <c r="M869" s="2">
        <v>1</v>
      </c>
      <c r="N869" s="2" t="s">
        <v>6</v>
      </c>
      <c r="O869" s="2">
        <v>30</v>
      </c>
      <c r="P869" s="2">
        <f ca="1">ROUND((IF(I869="",TODAY(),I869)-H869)/365,1)</f>
        <v>1.3</v>
      </c>
      <c r="Q869" s="2" t="str">
        <f t="shared" si="13"/>
        <v>N/A</v>
      </c>
    </row>
    <row r="870" spans="1:17" x14ac:dyDescent="0.35">
      <c r="A870" s="2" t="s">
        <v>2428</v>
      </c>
      <c r="B870" s="2" t="s">
        <v>2076</v>
      </c>
      <c r="C870" s="2" t="s">
        <v>9</v>
      </c>
      <c r="D870" s="2" t="s">
        <v>51</v>
      </c>
      <c r="E870" s="2" t="s">
        <v>46</v>
      </c>
      <c r="F870" s="2">
        <v>31</v>
      </c>
      <c r="G870" s="2" t="s">
        <v>78</v>
      </c>
      <c r="H870" s="3" t="s">
        <v>2429</v>
      </c>
      <c r="I870" s="2"/>
      <c r="J870" s="2" t="s">
        <v>8</v>
      </c>
      <c r="K870" s="2">
        <v>75538</v>
      </c>
      <c r="L870" s="2">
        <v>2</v>
      </c>
      <c r="M870" s="2">
        <v>2</v>
      </c>
      <c r="N870" s="2" t="s">
        <v>8</v>
      </c>
      <c r="O870" s="2">
        <v>24</v>
      </c>
      <c r="P870" s="2">
        <f ca="1">ROUND((IF(I870="",TODAY(),I870)-H870)/365,1)</f>
        <v>2.1</v>
      </c>
      <c r="Q870" s="2" t="str">
        <f t="shared" si="13"/>
        <v>Medium</v>
      </c>
    </row>
    <row r="871" spans="1:17" x14ac:dyDescent="0.35">
      <c r="A871" s="2" t="s">
        <v>2430</v>
      </c>
      <c r="B871" s="2" t="s">
        <v>798</v>
      </c>
      <c r="C871" s="2" t="s">
        <v>11</v>
      </c>
      <c r="D871" s="2" t="s">
        <v>45</v>
      </c>
      <c r="E871" s="2" t="s">
        <v>46</v>
      </c>
      <c r="F871" s="2">
        <v>39</v>
      </c>
      <c r="G871" s="2" t="s">
        <v>32</v>
      </c>
      <c r="H871" s="3" t="s">
        <v>2431</v>
      </c>
      <c r="I871" s="2"/>
      <c r="J871" s="2" t="s">
        <v>8</v>
      </c>
      <c r="K871" s="2">
        <v>38377</v>
      </c>
      <c r="L871" s="2">
        <v>5</v>
      </c>
      <c r="M871" s="2">
        <v>3</v>
      </c>
      <c r="N871" s="2" t="s">
        <v>6</v>
      </c>
      <c r="O871" s="2">
        <v>42</v>
      </c>
      <c r="P871" s="2">
        <f ca="1">ROUND((IF(I871="",TODAY(),I871)-H871)/365,1)</f>
        <v>6.9</v>
      </c>
      <c r="Q871" s="2" t="str">
        <f t="shared" si="13"/>
        <v>Medium</v>
      </c>
    </row>
    <row r="872" spans="1:17" x14ac:dyDescent="0.35">
      <c r="A872" s="2" t="s">
        <v>2432</v>
      </c>
      <c r="B872" s="2" t="s">
        <v>2433</v>
      </c>
      <c r="C872" s="2" t="s">
        <v>5</v>
      </c>
      <c r="D872" s="2" t="s">
        <v>102</v>
      </c>
      <c r="E872" s="2" t="s">
        <v>31</v>
      </c>
      <c r="F872" s="2">
        <v>51</v>
      </c>
      <c r="G872" s="2" t="s">
        <v>78</v>
      </c>
      <c r="H872" s="3" t="s">
        <v>1205</v>
      </c>
      <c r="I872" s="3" t="s">
        <v>204</v>
      </c>
      <c r="J872" s="2" t="s">
        <v>6</v>
      </c>
      <c r="K872" s="2">
        <v>71131</v>
      </c>
      <c r="L872" s="2">
        <v>5</v>
      </c>
      <c r="M872" s="2">
        <v>4</v>
      </c>
      <c r="N872" s="2" t="s">
        <v>6</v>
      </c>
      <c r="O872" s="2">
        <v>29</v>
      </c>
      <c r="P872" s="2">
        <f ca="1">ROUND((IF(I872="",TODAY(),I872)-H872)/365,1)</f>
        <v>6.3</v>
      </c>
      <c r="Q872" s="2" t="str">
        <f t="shared" si="13"/>
        <v>N/A</v>
      </c>
    </row>
    <row r="873" spans="1:17" x14ac:dyDescent="0.35">
      <c r="A873" s="2" t="s">
        <v>2434</v>
      </c>
      <c r="B873" s="2" t="s">
        <v>2435</v>
      </c>
      <c r="C873" s="2" t="s">
        <v>5</v>
      </c>
      <c r="D873" s="2" t="s">
        <v>207</v>
      </c>
      <c r="E873" s="2" t="s">
        <v>46</v>
      </c>
      <c r="F873" s="2">
        <v>47</v>
      </c>
      <c r="G873" s="2" t="s">
        <v>78</v>
      </c>
      <c r="H873" s="3" t="s">
        <v>2436</v>
      </c>
      <c r="I873" s="3" t="s">
        <v>2437</v>
      </c>
      <c r="J873" s="2" t="s">
        <v>6</v>
      </c>
      <c r="K873" s="2">
        <v>60728</v>
      </c>
      <c r="L873" s="2">
        <v>1</v>
      </c>
      <c r="M873" s="2">
        <v>3</v>
      </c>
      <c r="N873" s="2" t="s">
        <v>8</v>
      </c>
      <c r="O873" s="2">
        <v>29</v>
      </c>
      <c r="P873" s="2">
        <f ca="1">ROUND((IF(I873="",TODAY(),I873)-H873)/365,1)</f>
        <v>4.5</v>
      </c>
      <c r="Q873" s="2" t="str">
        <f t="shared" si="13"/>
        <v>N/A</v>
      </c>
    </row>
    <row r="874" spans="1:17" x14ac:dyDescent="0.35">
      <c r="A874" s="2" t="s">
        <v>2438</v>
      </c>
      <c r="B874" s="2" t="s">
        <v>2439</v>
      </c>
      <c r="C874" s="2" t="s">
        <v>12</v>
      </c>
      <c r="D874" s="2" t="s">
        <v>133</v>
      </c>
      <c r="E874" s="2" t="s">
        <v>31</v>
      </c>
      <c r="F874" s="2">
        <v>47</v>
      </c>
      <c r="G874" s="2" t="s">
        <v>78</v>
      </c>
      <c r="H874" s="3" t="s">
        <v>2440</v>
      </c>
      <c r="I874" s="3" t="s">
        <v>2441</v>
      </c>
      <c r="J874" s="2" t="s">
        <v>6</v>
      </c>
      <c r="K874" s="2">
        <v>92976</v>
      </c>
      <c r="L874" s="2">
        <v>5</v>
      </c>
      <c r="M874" s="2">
        <v>5</v>
      </c>
      <c r="N874" s="2" t="s">
        <v>8</v>
      </c>
      <c r="O874" s="2">
        <v>32</v>
      </c>
      <c r="P874" s="2">
        <f ca="1">ROUND((IF(I874="",TODAY(),I874)-H874)/365,1)</f>
        <v>0.7</v>
      </c>
      <c r="Q874" s="2" t="str">
        <f t="shared" si="13"/>
        <v>N/A</v>
      </c>
    </row>
    <row r="875" spans="1:17" x14ac:dyDescent="0.35">
      <c r="A875" s="2" t="s">
        <v>2442</v>
      </c>
      <c r="B875" s="2" t="s">
        <v>1733</v>
      </c>
      <c r="C875" s="2" t="s">
        <v>12</v>
      </c>
      <c r="D875" s="2" t="s">
        <v>30</v>
      </c>
      <c r="E875" s="2" t="s">
        <v>31</v>
      </c>
      <c r="F875" s="2">
        <v>25</v>
      </c>
      <c r="G875" s="2" t="s">
        <v>32</v>
      </c>
      <c r="H875" s="3" t="s">
        <v>2443</v>
      </c>
      <c r="I875" s="3" t="s">
        <v>2444</v>
      </c>
      <c r="J875" s="2" t="s">
        <v>6</v>
      </c>
      <c r="K875" s="2">
        <v>94747</v>
      </c>
      <c r="L875" s="2">
        <v>2</v>
      </c>
      <c r="M875" s="2">
        <v>3</v>
      </c>
      <c r="N875" s="2" t="s">
        <v>6</v>
      </c>
      <c r="O875" s="2">
        <v>5</v>
      </c>
      <c r="P875" s="2">
        <f ca="1">ROUND((IF(I875="",TODAY(),I875)-H875)/365,1)</f>
        <v>1.4</v>
      </c>
      <c r="Q875" s="2" t="str">
        <f t="shared" si="13"/>
        <v>N/A</v>
      </c>
    </row>
    <row r="876" spans="1:17" x14ac:dyDescent="0.35">
      <c r="A876" s="2" t="s">
        <v>2445</v>
      </c>
      <c r="B876" s="2" t="s">
        <v>2446</v>
      </c>
      <c r="C876" s="2" t="s">
        <v>11</v>
      </c>
      <c r="D876" s="2" t="s">
        <v>98</v>
      </c>
      <c r="E876" s="2" t="s">
        <v>46</v>
      </c>
      <c r="F876" s="2">
        <v>28</v>
      </c>
      <c r="G876" s="2" t="s">
        <v>32</v>
      </c>
      <c r="H876" s="3" t="s">
        <v>2447</v>
      </c>
      <c r="I876" s="2"/>
      <c r="J876" s="2" t="s">
        <v>8</v>
      </c>
      <c r="K876" s="2">
        <v>47417</v>
      </c>
      <c r="L876" s="2">
        <v>4</v>
      </c>
      <c r="M876" s="2">
        <v>3</v>
      </c>
      <c r="N876" s="2" t="s">
        <v>8</v>
      </c>
      <c r="O876" s="2">
        <v>14</v>
      </c>
      <c r="P876" s="2">
        <f ca="1">ROUND((IF(I876="",TODAY(),I876)-H876)/365,1)</f>
        <v>9.1</v>
      </c>
      <c r="Q876" s="2" t="str">
        <f t="shared" si="13"/>
        <v>Low</v>
      </c>
    </row>
    <row r="877" spans="1:17" x14ac:dyDescent="0.35">
      <c r="A877" s="2" t="s">
        <v>2448</v>
      </c>
      <c r="B877" s="2" t="s">
        <v>1480</v>
      </c>
      <c r="C877" s="2" t="s">
        <v>9</v>
      </c>
      <c r="D877" s="2" t="s">
        <v>77</v>
      </c>
      <c r="E877" s="2" t="s">
        <v>46</v>
      </c>
      <c r="F877" s="2">
        <v>33</v>
      </c>
      <c r="G877" s="2" t="s">
        <v>56</v>
      </c>
      <c r="H877" s="3" t="s">
        <v>2297</v>
      </c>
      <c r="I877" s="2"/>
      <c r="J877" s="2" t="s">
        <v>8</v>
      </c>
      <c r="K877" s="2">
        <v>136747</v>
      </c>
      <c r="L877" s="2">
        <v>4</v>
      </c>
      <c r="M877" s="2">
        <v>5</v>
      </c>
      <c r="N877" s="2" t="s">
        <v>8</v>
      </c>
      <c r="O877" s="2">
        <v>20</v>
      </c>
      <c r="P877" s="2">
        <f ca="1">ROUND((IF(I877="",TODAY(),I877)-H877)/365,1)</f>
        <v>6</v>
      </c>
      <c r="Q877" s="2" t="str">
        <f t="shared" si="13"/>
        <v>Low</v>
      </c>
    </row>
    <row r="878" spans="1:17" x14ac:dyDescent="0.35">
      <c r="A878" s="2" t="s">
        <v>2449</v>
      </c>
      <c r="B878" s="2" t="s">
        <v>313</v>
      </c>
      <c r="C878" s="2" t="s">
        <v>9</v>
      </c>
      <c r="D878" s="2" t="s">
        <v>77</v>
      </c>
      <c r="E878" s="2" t="s">
        <v>31</v>
      </c>
      <c r="F878" s="2">
        <v>43</v>
      </c>
      <c r="G878" s="2" t="s">
        <v>32</v>
      </c>
      <c r="H878" s="3" t="s">
        <v>1043</v>
      </c>
      <c r="I878" s="3" t="s">
        <v>2450</v>
      </c>
      <c r="J878" s="2" t="s">
        <v>6</v>
      </c>
      <c r="K878" s="2">
        <v>68785</v>
      </c>
      <c r="L878" s="2">
        <v>4</v>
      </c>
      <c r="M878" s="2">
        <v>1</v>
      </c>
      <c r="N878" s="2" t="s">
        <v>8</v>
      </c>
      <c r="O878" s="2">
        <v>28</v>
      </c>
      <c r="P878" s="2">
        <f ca="1">ROUND((IF(I878="",TODAY(),I878)-H878)/365,1)</f>
        <v>0.5</v>
      </c>
      <c r="Q878" s="2" t="str">
        <f t="shared" si="13"/>
        <v>N/A</v>
      </c>
    </row>
    <row r="879" spans="1:17" x14ac:dyDescent="0.35">
      <c r="A879" s="2" t="s">
        <v>2451</v>
      </c>
      <c r="B879" s="2" t="s">
        <v>1548</v>
      </c>
      <c r="C879" s="2" t="s">
        <v>5</v>
      </c>
      <c r="D879" s="2" t="s">
        <v>94</v>
      </c>
      <c r="E879" s="2" t="s">
        <v>31</v>
      </c>
      <c r="F879" s="2">
        <v>52</v>
      </c>
      <c r="G879" s="2" t="s">
        <v>32</v>
      </c>
      <c r="H879" s="3" t="s">
        <v>2452</v>
      </c>
      <c r="I879" s="2"/>
      <c r="J879" s="2" t="s">
        <v>8</v>
      </c>
      <c r="K879" s="2">
        <v>30921</v>
      </c>
      <c r="L879" s="2">
        <v>4</v>
      </c>
      <c r="M879" s="2">
        <v>2</v>
      </c>
      <c r="N879" s="2" t="s">
        <v>6</v>
      </c>
      <c r="O879" s="2">
        <v>8</v>
      </c>
      <c r="P879" s="2">
        <f ca="1">ROUND((IF(I879="",TODAY(),I879)-H879)/365,1)</f>
        <v>5.0999999999999996</v>
      </c>
      <c r="Q879" s="2" t="str">
        <f t="shared" si="13"/>
        <v>High</v>
      </c>
    </row>
    <row r="880" spans="1:17" x14ac:dyDescent="0.35">
      <c r="A880" s="2" t="s">
        <v>2453</v>
      </c>
      <c r="B880" s="2" t="s">
        <v>554</v>
      </c>
      <c r="C880" s="2" t="s">
        <v>9</v>
      </c>
      <c r="D880" s="2" t="s">
        <v>51</v>
      </c>
      <c r="E880" s="2" t="s">
        <v>31</v>
      </c>
      <c r="F880" s="2">
        <v>28</v>
      </c>
      <c r="G880" s="2" t="s">
        <v>78</v>
      </c>
      <c r="H880" s="3" t="s">
        <v>2454</v>
      </c>
      <c r="I880" s="2"/>
      <c r="J880" s="2" t="s">
        <v>8</v>
      </c>
      <c r="K880" s="2">
        <v>121313</v>
      </c>
      <c r="L880" s="2">
        <v>4</v>
      </c>
      <c r="M880" s="2">
        <v>3</v>
      </c>
      <c r="N880" s="2" t="s">
        <v>8</v>
      </c>
      <c r="O880" s="2">
        <v>32</v>
      </c>
      <c r="P880" s="2">
        <f ca="1">ROUND((IF(I880="",TODAY(),I880)-H880)/365,1)</f>
        <v>8.1999999999999993</v>
      </c>
      <c r="Q880" s="2" t="str">
        <f t="shared" si="13"/>
        <v>Low</v>
      </c>
    </row>
    <row r="881" spans="1:17" x14ac:dyDescent="0.35">
      <c r="A881" s="2" t="s">
        <v>2455</v>
      </c>
      <c r="B881" s="2" t="s">
        <v>2456</v>
      </c>
      <c r="C881" s="2" t="s">
        <v>9</v>
      </c>
      <c r="D881" s="2" t="s">
        <v>77</v>
      </c>
      <c r="E881" s="2" t="s">
        <v>46</v>
      </c>
      <c r="F881" s="2">
        <v>51</v>
      </c>
      <c r="G881" s="2" t="s">
        <v>56</v>
      </c>
      <c r="H881" s="3" t="s">
        <v>2457</v>
      </c>
      <c r="I881" s="2"/>
      <c r="J881" s="2" t="s">
        <v>8</v>
      </c>
      <c r="K881" s="2">
        <v>126518</v>
      </c>
      <c r="L881" s="2">
        <v>3</v>
      </c>
      <c r="M881" s="2">
        <v>3</v>
      </c>
      <c r="N881" s="2" t="s">
        <v>8</v>
      </c>
      <c r="O881" s="2">
        <v>34</v>
      </c>
      <c r="P881" s="2">
        <f ca="1">ROUND((IF(I881="",TODAY(),I881)-H881)/365,1)</f>
        <v>11.5</v>
      </c>
      <c r="Q881" s="2" t="str">
        <f t="shared" si="13"/>
        <v>Low</v>
      </c>
    </row>
    <row r="882" spans="1:17" x14ac:dyDescent="0.35">
      <c r="A882" s="2" t="s">
        <v>2458</v>
      </c>
      <c r="B882" s="2" t="s">
        <v>137</v>
      </c>
      <c r="C882" s="2" t="s">
        <v>11</v>
      </c>
      <c r="D882" s="2" t="s">
        <v>66</v>
      </c>
      <c r="E882" s="2" t="s">
        <v>31</v>
      </c>
      <c r="F882" s="2">
        <v>23</v>
      </c>
      <c r="G882" s="2" t="s">
        <v>32</v>
      </c>
      <c r="H882" s="3" t="s">
        <v>2278</v>
      </c>
      <c r="I882" s="3" t="s">
        <v>2459</v>
      </c>
      <c r="J882" s="2" t="s">
        <v>6</v>
      </c>
      <c r="K882" s="2">
        <v>90251</v>
      </c>
      <c r="L882" s="2">
        <v>2</v>
      </c>
      <c r="M882" s="2">
        <v>2</v>
      </c>
      <c r="N882" s="2" t="s">
        <v>8</v>
      </c>
      <c r="O882" s="2">
        <v>23</v>
      </c>
      <c r="P882" s="2">
        <f ca="1">ROUND((IF(I882="",TODAY(),I882)-H882)/365,1)</f>
        <v>8.5</v>
      </c>
      <c r="Q882" s="2" t="str">
        <f t="shared" si="13"/>
        <v>N/A</v>
      </c>
    </row>
    <row r="883" spans="1:17" x14ac:dyDescent="0.35">
      <c r="A883" s="2" t="s">
        <v>2460</v>
      </c>
      <c r="B883" s="2" t="s">
        <v>798</v>
      </c>
      <c r="C883" s="2" t="s">
        <v>12</v>
      </c>
      <c r="D883" s="2" t="s">
        <v>133</v>
      </c>
      <c r="E883" s="2" t="s">
        <v>46</v>
      </c>
      <c r="F883" s="2">
        <v>34</v>
      </c>
      <c r="G883" s="2" t="s">
        <v>56</v>
      </c>
      <c r="H883" s="3" t="s">
        <v>2461</v>
      </c>
      <c r="I883" s="2"/>
      <c r="J883" s="2" t="s">
        <v>8</v>
      </c>
      <c r="K883" s="2">
        <v>113971</v>
      </c>
      <c r="L883" s="2">
        <v>3</v>
      </c>
      <c r="M883" s="2">
        <v>1</v>
      </c>
      <c r="N883" s="2" t="s">
        <v>8</v>
      </c>
      <c r="O883" s="2">
        <v>41</v>
      </c>
      <c r="P883" s="2">
        <f ca="1">ROUND((IF(I883="",TODAY(),I883)-H883)/365,1)</f>
        <v>1.3</v>
      </c>
      <c r="Q883" s="2" t="str">
        <f t="shared" si="13"/>
        <v>Medium</v>
      </c>
    </row>
    <row r="884" spans="1:17" x14ac:dyDescent="0.35">
      <c r="A884" s="2" t="s">
        <v>2462</v>
      </c>
      <c r="B884" s="2" t="s">
        <v>1852</v>
      </c>
      <c r="C884" s="2" t="s">
        <v>10</v>
      </c>
      <c r="D884" s="2" t="s">
        <v>70</v>
      </c>
      <c r="E884" s="2" t="s">
        <v>31</v>
      </c>
      <c r="F884" s="2">
        <v>43</v>
      </c>
      <c r="G884" s="2" t="s">
        <v>56</v>
      </c>
      <c r="H884" s="3" t="s">
        <v>2463</v>
      </c>
      <c r="I884" s="2"/>
      <c r="J884" s="2" t="s">
        <v>8</v>
      </c>
      <c r="K884" s="2">
        <v>30387</v>
      </c>
      <c r="L884" s="2">
        <v>3</v>
      </c>
      <c r="M884" s="2">
        <v>3</v>
      </c>
      <c r="N884" s="2" t="s">
        <v>8</v>
      </c>
      <c r="O884" s="2">
        <v>13</v>
      </c>
      <c r="P884" s="2">
        <f ca="1">ROUND((IF(I884="",TODAY(),I884)-H884)/365,1)</f>
        <v>7.2</v>
      </c>
      <c r="Q884" s="2" t="str">
        <f t="shared" si="13"/>
        <v>Low</v>
      </c>
    </row>
    <row r="885" spans="1:17" x14ac:dyDescent="0.35">
      <c r="A885" s="2" t="s">
        <v>2464</v>
      </c>
      <c r="B885" s="2" t="s">
        <v>374</v>
      </c>
      <c r="C885" s="2" t="s">
        <v>9</v>
      </c>
      <c r="D885" s="2" t="s">
        <v>77</v>
      </c>
      <c r="E885" s="2" t="s">
        <v>31</v>
      </c>
      <c r="F885" s="2">
        <v>58</v>
      </c>
      <c r="G885" s="2" t="s">
        <v>56</v>
      </c>
      <c r="H885" s="3" t="s">
        <v>2465</v>
      </c>
      <c r="I885" s="3" t="s">
        <v>2466</v>
      </c>
      <c r="J885" s="2" t="s">
        <v>6</v>
      </c>
      <c r="K885" s="2">
        <v>90395</v>
      </c>
      <c r="L885" s="2">
        <v>1</v>
      </c>
      <c r="M885" s="2">
        <v>3</v>
      </c>
      <c r="N885" s="2" t="s">
        <v>8</v>
      </c>
      <c r="O885" s="2">
        <v>1</v>
      </c>
      <c r="P885" s="2">
        <f ca="1">ROUND((IF(I885="",TODAY(),I885)-H885)/365,1)</f>
        <v>2.1</v>
      </c>
      <c r="Q885" s="2" t="str">
        <f t="shared" si="13"/>
        <v>N/A</v>
      </c>
    </row>
    <row r="886" spans="1:17" x14ac:dyDescent="0.35">
      <c r="A886" s="2" t="s">
        <v>2467</v>
      </c>
      <c r="B886" s="2" t="s">
        <v>472</v>
      </c>
      <c r="C886" s="2" t="s">
        <v>7</v>
      </c>
      <c r="D886" s="2" t="s">
        <v>37</v>
      </c>
      <c r="E886" s="2" t="s">
        <v>46</v>
      </c>
      <c r="F886" s="2">
        <v>32</v>
      </c>
      <c r="G886" s="2" t="s">
        <v>32</v>
      </c>
      <c r="H886" s="3" t="s">
        <v>2468</v>
      </c>
      <c r="I886" s="3" t="s">
        <v>2469</v>
      </c>
      <c r="J886" s="2" t="s">
        <v>6</v>
      </c>
      <c r="K886" s="2">
        <v>84488</v>
      </c>
      <c r="L886" s="2">
        <v>3</v>
      </c>
      <c r="M886" s="2">
        <v>1</v>
      </c>
      <c r="N886" s="2" t="s">
        <v>8</v>
      </c>
      <c r="O886" s="2">
        <v>1</v>
      </c>
      <c r="P886" s="2">
        <f ca="1">ROUND((IF(I886="",TODAY(),I886)-H886)/365,1)</f>
        <v>6.8</v>
      </c>
      <c r="Q886" s="2" t="str">
        <f t="shared" si="13"/>
        <v>N/A</v>
      </c>
    </row>
    <row r="887" spans="1:17" x14ac:dyDescent="0.35">
      <c r="A887" s="2" t="s">
        <v>2470</v>
      </c>
      <c r="B887" s="2" t="s">
        <v>2471</v>
      </c>
      <c r="C887" s="2" t="s">
        <v>5</v>
      </c>
      <c r="D887" s="2" t="s">
        <v>94</v>
      </c>
      <c r="E887" s="2" t="s">
        <v>46</v>
      </c>
      <c r="F887" s="2">
        <v>49</v>
      </c>
      <c r="G887" s="2" t="s">
        <v>78</v>
      </c>
      <c r="H887" s="3" t="s">
        <v>2472</v>
      </c>
      <c r="I887" s="2"/>
      <c r="J887" s="2" t="s">
        <v>8</v>
      </c>
      <c r="K887" s="2">
        <v>43051</v>
      </c>
      <c r="L887" s="2">
        <v>1</v>
      </c>
      <c r="M887" s="2">
        <v>1</v>
      </c>
      <c r="N887" s="2" t="s">
        <v>8</v>
      </c>
      <c r="O887" s="2">
        <v>17</v>
      </c>
      <c r="P887" s="2">
        <f ca="1">ROUND((IF(I887="",TODAY(),I887)-H887)/365,1)</f>
        <v>7.7</v>
      </c>
      <c r="Q887" s="2" t="str">
        <f t="shared" si="13"/>
        <v>Medium</v>
      </c>
    </row>
    <row r="888" spans="1:17" x14ac:dyDescent="0.35">
      <c r="A888" s="2" t="s">
        <v>2473</v>
      </c>
      <c r="B888" s="2" t="s">
        <v>290</v>
      </c>
      <c r="C888" s="2" t="s">
        <v>11</v>
      </c>
      <c r="D888" s="2" t="s">
        <v>98</v>
      </c>
      <c r="E888" s="2" t="s">
        <v>31</v>
      </c>
      <c r="F888" s="2">
        <v>31</v>
      </c>
      <c r="G888" s="2" t="s">
        <v>32</v>
      </c>
      <c r="H888" s="3" t="s">
        <v>1635</v>
      </c>
      <c r="I888" s="2"/>
      <c r="J888" s="2" t="s">
        <v>8</v>
      </c>
      <c r="K888" s="2">
        <v>53686</v>
      </c>
      <c r="L888" s="2">
        <v>1</v>
      </c>
      <c r="M888" s="2">
        <v>5</v>
      </c>
      <c r="N888" s="2" t="s">
        <v>6</v>
      </c>
      <c r="O888" s="2">
        <v>19</v>
      </c>
      <c r="P888" s="2">
        <f ca="1">ROUND((IF(I888="",TODAY(),I888)-H888)/365,1)</f>
        <v>3.4</v>
      </c>
      <c r="Q888" s="2" t="str">
        <f t="shared" si="13"/>
        <v>Medium</v>
      </c>
    </row>
    <row r="889" spans="1:17" x14ac:dyDescent="0.35">
      <c r="A889" s="2" t="s">
        <v>2474</v>
      </c>
      <c r="B889" s="2" t="s">
        <v>987</v>
      </c>
      <c r="C889" s="2" t="s">
        <v>9</v>
      </c>
      <c r="D889" s="2" t="s">
        <v>51</v>
      </c>
      <c r="E889" s="2" t="s">
        <v>46</v>
      </c>
      <c r="F889" s="2">
        <v>28</v>
      </c>
      <c r="G889" s="2" t="s">
        <v>56</v>
      </c>
      <c r="H889" s="3" t="s">
        <v>982</v>
      </c>
      <c r="I889" s="2"/>
      <c r="J889" s="2" t="s">
        <v>8</v>
      </c>
      <c r="K889" s="2">
        <v>47715</v>
      </c>
      <c r="L889" s="2">
        <v>5</v>
      </c>
      <c r="M889" s="2">
        <v>3</v>
      </c>
      <c r="N889" s="2" t="s">
        <v>6</v>
      </c>
      <c r="O889" s="2">
        <v>20</v>
      </c>
      <c r="P889" s="2">
        <f ca="1">ROUND((IF(I889="",TODAY(),I889)-H889)/365,1)</f>
        <v>1.6</v>
      </c>
      <c r="Q889" s="2" t="str">
        <f t="shared" si="13"/>
        <v>Medium</v>
      </c>
    </row>
    <row r="890" spans="1:17" x14ac:dyDescent="0.35">
      <c r="A890" s="2" t="s">
        <v>2475</v>
      </c>
      <c r="B890" s="2" t="s">
        <v>956</v>
      </c>
      <c r="C890" s="2" t="s">
        <v>9</v>
      </c>
      <c r="D890" s="2" t="s">
        <v>77</v>
      </c>
      <c r="E890" s="2" t="s">
        <v>31</v>
      </c>
      <c r="F890" s="2">
        <v>30</v>
      </c>
      <c r="G890" s="2" t="s">
        <v>56</v>
      </c>
      <c r="H890" s="3" t="s">
        <v>2476</v>
      </c>
      <c r="I890" s="2"/>
      <c r="J890" s="2" t="s">
        <v>8</v>
      </c>
      <c r="K890" s="2">
        <v>63972</v>
      </c>
      <c r="L890" s="2">
        <v>3</v>
      </c>
      <c r="M890" s="2">
        <v>3</v>
      </c>
      <c r="N890" s="2" t="s">
        <v>8</v>
      </c>
      <c r="O890" s="2">
        <v>6</v>
      </c>
      <c r="P890" s="2">
        <f ca="1">ROUND((IF(I890="",TODAY(),I890)-H890)/365,1)</f>
        <v>6.9</v>
      </c>
      <c r="Q890" s="2" t="str">
        <f t="shared" si="13"/>
        <v>Low</v>
      </c>
    </row>
    <row r="891" spans="1:17" x14ac:dyDescent="0.35">
      <c r="A891" s="2" t="s">
        <v>2477</v>
      </c>
      <c r="B891" s="2" t="s">
        <v>2478</v>
      </c>
      <c r="C891" s="2" t="s">
        <v>10</v>
      </c>
      <c r="D891" s="2" t="s">
        <v>70</v>
      </c>
      <c r="E891" s="2" t="s">
        <v>31</v>
      </c>
      <c r="F891" s="2">
        <v>28</v>
      </c>
      <c r="G891" s="2" t="s">
        <v>78</v>
      </c>
      <c r="H891" s="3" t="s">
        <v>2479</v>
      </c>
      <c r="I891" s="2"/>
      <c r="J891" s="2" t="s">
        <v>8</v>
      </c>
      <c r="K891" s="2">
        <v>118401</v>
      </c>
      <c r="L891" s="2">
        <v>5</v>
      </c>
      <c r="M891" s="2">
        <v>3</v>
      </c>
      <c r="N891" s="2" t="s">
        <v>8</v>
      </c>
      <c r="O891" s="2">
        <v>44</v>
      </c>
      <c r="P891" s="2">
        <f ca="1">ROUND((IF(I891="",TODAY(),I891)-H891)/365,1)</f>
        <v>10.1</v>
      </c>
      <c r="Q891" s="2" t="str">
        <f t="shared" si="13"/>
        <v>Low</v>
      </c>
    </row>
    <row r="892" spans="1:17" x14ac:dyDescent="0.35">
      <c r="A892" s="2" t="s">
        <v>2480</v>
      </c>
      <c r="B892" s="2" t="s">
        <v>2393</v>
      </c>
      <c r="C892" s="2" t="s">
        <v>10</v>
      </c>
      <c r="D892" s="2" t="s">
        <v>258</v>
      </c>
      <c r="E892" s="2" t="s">
        <v>46</v>
      </c>
      <c r="F892" s="2">
        <v>23</v>
      </c>
      <c r="G892" s="2" t="s">
        <v>78</v>
      </c>
      <c r="H892" s="3" t="s">
        <v>2481</v>
      </c>
      <c r="I892" s="2"/>
      <c r="J892" s="2" t="s">
        <v>8</v>
      </c>
      <c r="K892" s="2">
        <v>105636</v>
      </c>
      <c r="L892" s="2">
        <v>1</v>
      </c>
      <c r="M892" s="2">
        <v>4</v>
      </c>
      <c r="N892" s="2" t="s">
        <v>8</v>
      </c>
      <c r="O892" s="2">
        <v>9</v>
      </c>
      <c r="P892" s="2">
        <f ca="1">ROUND((IF(I892="",TODAY(),I892)-H892)/365,1)</f>
        <v>1.4</v>
      </c>
      <c r="Q892" s="2" t="str">
        <f t="shared" si="13"/>
        <v>Low</v>
      </c>
    </row>
    <row r="893" spans="1:17" x14ac:dyDescent="0.35">
      <c r="A893" s="2" t="s">
        <v>2482</v>
      </c>
      <c r="B893" s="2" t="s">
        <v>440</v>
      </c>
      <c r="C893" s="2" t="s">
        <v>11</v>
      </c>
      <c r="D893" s="2" t="s">
        <v>98</v>
      </c>
      <c r="E893" s="2" t="s">
        <v>46</v>
      </c>
      <c r="F893" s="2">
        <v>56</v>
      </c>
      <c r="G893" s="2" t="s">
        <v>78</v>
      </c>
      <c r="H893" s="3" t="s">
        <v>2329</v>
      </c>
      <c r="I893" s="2"/>
      <c r="J893" s="2" t="s">
        <v>8</v>
      </c>
      <c r="K893" s="2">
        <v>41506</v>
      </c>
      <c r="L893" s="2">
        <v>1</v>
      </c>
      <c r="M893" s="2">
        <v>3</v>
      </c>
      <c r="N893" s="2" t="s">
        <v>8</v>
      </c>
      <c r="O893" s="2">
        <v>26</v>
      </c>
      <c r="P893" s="2">
        <f ca="1">ROUND((IF(I893="",TODAY(),I893)-H893)/365,1)</f>
        <v>1.5</v>
      </c>
      <c r="Q893" s="2" t="str">
        <f t="shared" si="13"/>
        <v>Low</v>
      </c>
    </row>
    <row r="894" spans="1:17" x14ac:dyDescent="0.35">
      <c r="A894" s="2" t="s">
        <v>2483</v>
      </c>
      <c r="B894" s="2" t="s">
        <v>871</v>
      </c>
      <c r="C894" s="2" t="s">
        <v>10</v>
      </c>
      <c r="D894" s="2" t="s">
        <v>70</v>
      </c>
      <c r="E894" s="2" t="s">
        <v>46</v>
      </c>
      <c r="F894" s="2">
        <v>25</v>
      </c>
      <c r="G894" s="2" t="s">
        <v>78</v>
      </c>
      <c r="H894" s="3" t="s">
        <v>1683</v>
      </c>
      <c r="I894" s="2"/>
      <c r="J894" s="2" t="s">
        <v>8</v>
      </c>
      <c r="K894" s="2">
        <v>37766</v>
      </c>
      <c r="L894" s="2">
        <v>3</v>
      </c>
      <c r="M894" s="2">
        <v>1</v>
      </c>
      <c r="N894" s="2" t="s">
        <v>8</v>
      </c>
      <c r="O894" s="2">
        <v>39</v>
      </c>
      <c r="P894" s="2">
        <f ca="1">ROUND((IF(I894="",TODAY(),I894)-H894)/365,1)</f>
        <v>8.6</v>
      </c>
      <c r="Q894" s="2" t="str">
        <f t="shared" si="13"/>
        <v>Medium</v>
      </c>
    </row>
    <row r="895" spans="1:17" x14ac:dyDescent="0.35">
      <c r="A895" s="2" t="s">
        <v>2484</v>
      </c>
      <c r="B895" s="2" t="s">
        <v>1007</v>
      </c>
      <c r="C895" s="2" t="s">
        <v>12</v>
      </c>
      <c r="D895" s="2" t="s">
        <v>133</v>
      </c>
      <c r="E895" s="2" t="s">
        <v>31</v>
      </c>
      <c r="F895" s="2">
        <v>54</v>
      </c>
      <c r="G895" s="2" t="s">
        <v>56</v>
      </c>
      <c r="H895" s="3" t="s">
        <v>2485</v>
      </c>
      <c r="I895" s="2"/>
      <c r="J895" s="2" t="s">
        <v>8</v>
      </c>
      <c r="K895" s="2">
        <v>98668</v>
      </c>
      <c r="L895" s="2">
        <v>5</v>
      </c>
      <c r="M895" s="2">
        <v>2</v>
      </c>
      <c r="N895" s="2" t="s">
        <v>8</v>
      </c>
      <c r="O895" s="2">
        <v>10</v>
      </c>
      <c r="P895" s="2">
        <f ca="1">ROUND((IF(I895="",TODAY(),I895)-H895)/365,1)</f>
        <v>3.3</v>
      </c>
      <c r="Q895" s="2" t="str">
        <f t="shared" si="13"/>
        <v>Medium</v>
      </c>
    </row>
    <row r="896" spans="1:17" x14ac:dyDescent="0.35">
      <c r="A896" s="2" t="s">
        <v>2486</v>
      </c>
      <c r="B896" s="2" t="s">
        <v>2487</v>
      </c>
      <c r="C896" s="2" t="s">
        <v>7</v>
      </c>
      <c r="D896" s="2" t="s">
        <v>155</v>
      </c>
      <c r="E896" s="2" t="s">
        <v>31</v>
      </c>
      <c r="F896" s="2">
        <v>22</v>
      </c>
      <c r="G896" s="2" t="s">
        <v>32</v>
      </c>
      <c r="H896" s="3" t="s">
        <v>2488</v>
      </c>
      <c r="I896" s="2"/>
      <c r="J896" s="2" t="s">
        <v>8</v>
      </c>
      <c r="K896" s="2">
        <v>25004</v>
      </c>
      <c r="L896" s="2">
        <v>1</v>
      </c>
      <c r="M896" s="2">
        <v>2</v>
      </c>
      <c r="N896" s="2" t="s">
        <v>8</v>
      </c>
      <c r="O896" s="2">
        <v>5</v>
      </c>
      <c r="P896" s="2">
        <f ca="1">ROUND((IF(I896="",TODAY(),I896)-H896)/365,1)</f>
        <v>2.6</v>
      </c>
      <c r="Q896" s="2" t="str">
        <f t="shared" si="13"/>
        <v>Medium</v>
      </c>
    </row>
    <row r="897" spans="1:17" x14ac:dyDescent="0.35">
      <c r="A897" s="2" t="s">
        <v>2489</v>
      </c>
      <c r="B897" s="2" t="s">
        <v>2490</v>
      </c>
      <c r="C897" s="2" t="s">
        <v>5</v>
      </c>
      <c r="D897" s="2" t="s">
        <v>102</v>
      </c>
      <c r="E897" s="2" t="s">
        <v>31</v>
      </c>
      <c r="F897" s="2">
        <v>28</v>
      </c>
      <c r="G897" s="2" t="s">
        <v>32</v>
      </c>
      <c r="H897" s="3" t="s">
        <v>2491</v>
      </c>
      <c r="I897" s="3" t="s">
        <v>2492</v>
      </c>
      <c r="J897" s="2" t="s">
        <v>6</v>
      </c>
      <c r="K897" s="2">
        <v>32294</v>
      </c>
      <c r="L897" s="2">
        <v>4</v>
      </c>
      <c r="M897" s="2">
        <v>5</v>
      </c>
      <c r="N897" s="2" t="s">
        <v>6</v>
      </c>
      <c r="O897" s="2">
        <v>26</v>
      </c>
      <c r="P897" s="2">
        <f ca="1">ROUND((IF(I897="",TODAY(),I897)-H897)/365,1)</f>
        <v>5.6</v>
      </c>
      <c r="Q897" s="2" t="str">
        <f t="shared" si="13"/>
        <v>N/A</v>
      </c>
    </row>
    <row r="898" spans="1:17" x14ac:dyDescent="0.35">
      <c r="A898" s="2" t="s">
        <v>2493</v>
      </c>
      <c r="B898" s="2" t="s">
        <v>2494</v>
      </c>
      <c r="C898" s="2" t="s">
        <v>7</v>
      </c>
      <c r="D898" s="2" t="s">
        <v>155</v>
      </c>
      <c r="E898" s="2" t="s">
        <v>46</v>
      </c>
      <c r="F898" s="2">
        <v>29</v>
      </c>
      <c r="G898" s="2" t="s">
        <v>56</v>
      </c>
      <c r="H898" s="3" t="s">
        <v>2495</v>
      </c>
      <c r="I898" s="2"/>
      <c r="J898" s="2" t="s">
        <v>8</v>
      </c>
      <c r="K898" s="2">
        <v>132288</v>
      </c>
      <c r="L898" s="2">
        <v>2</v>
      </c>
      <c r="M898" s="2">
        <v>1</v>
      </c>
      <c r="N898" s="2" t="s">
        <v>6</v>
      </c>
      <c r="O898" s="2">
        <v>10</v>
      </c>
      <c r="P898" s="2">
        <f ca="1">ROUND((IF(I898="",TODAY(),I898)-H898)/365,1)</f>
        <v>6.8</v>
      </c>
      <c r="Q898" s="2" t="str">
        <f t="shared" ref="Q898:Q961" si="14">IF(J898="No",IF(AND(M898&lt;=2,N898="Yes"),"High",IF(OR(M898&lt;=2,N898="Yes"),"Medium","Low")),"N/A")</f>
        <v>High</v>
      </c>
    </row>
    <row r="899" spans="1:17" x14ac:dyDescent="0.35">
      <c r="A899" s="2" t="s">
        <v>2496</v>
      </c>
      <c r="B899" s="2" t="s">
        <v>1022</v>
      </c>
      <c r="C899" s="2" t="s">
        <v>7</v>
      </c>
      <c r="D899" s="2" t="s">
        <v>37</v>
      </c>
      <c r="E899" s="2" t="s">
        <v>31</v>
      </c>
      <c r="F899" s="2">
        <v>40</v>
      </c>
      <c r="G899" s="2" t="s">
        <v>78</v>
      </c>
      <c r="H899" s="3" t="s">
        <v>2497</v>
      </c>
      <c r="I899" s="2"/>
      <c r="J899" s="2" t="s">
        <v>8</v>
      </c>
      <c r="K899" s="2">
        <v>112516</v>
      </c>
      <c r="L899" s="2">
        <v>4</v>
      </c>
      <c r="M899" s="2">
        <v>5</v>
      </c>
      <c r="N899" s="2" t="s">
        <v>8</v>
      </c>
      <c r="O899" s="2">
        <v>24</v>
      </c>
      <c r="P899" s="2">
        <f ca="1">ROUND((IF(I899="",TODAY(),I899)-H899)/365,1)</f>
        <v>8.4</v>
      </c>
      <c r="Q899" s="2" t="str">
        <f t="shared" si="14"/>
        <v>Low</v>
      </c>
    </row>
    <row r="900" spans="1:17" x14ac:dyDescent="0.35">
      <c r="A900" s="2" t="s">
        <v>2498</v>
      </c>
      <c r="B900" s="2" t="s">
        <v>1994</v>
      </c>
      <c r="C900" s="2" t="s">
        <v>12</v>
      </c>
      <c r="D900" s="2" t="s">
        <v>30</v>
      </c>
      <c r="E900" s="2" t="s">
        <v>46</v>
      </c>
      <c r="F900" s="2">
        <v>31</v>
      </c>
      <c r="G900" s="2" t="s">
        <v>56</v>
      </c>
      <c r="H900" s="3" t="s">
        <v>2499</v>
      </c>
      <c r="I900" s="3" t="s">
        <v>2500</v>
      </c>
      <c r="J900" s="2" t="s">
        <v>6</v>
      </c>
      <c r="K900" s="2">
        <v>26444</v>
      </c>
      <c r="L900" s="2">
        <v>5</v>
      </c>
      <c r="M900" s="2">
        <v>1</v>
      </c>
      <c r="N900" s="2" t="s">
        <v>6</v>
      </c>
      <c r="O900" s="2">
        <v>25</v>
      </c>
      <c r="P900" s="2">
        <f ca="1">ROUND((IF(I900="",TODAY(),I900)-H900)/365,1)</f>
        <v>7.4</v>
      </c>
      <c r="Q900" s="2" t="str">
        <f t="shared" si="14"/>
        <v>N/A</v>
      </c>
    </row>
    <row r="901" spans="1:17" x14ac:dyDescent="0.35">
      <c r="A901" s="2" t="s">
        <v>2501</v>
      </c>
      <c r="B901" s="2" t="s">
        <v>1461</v>
      </c>
      <c r="C901" s="2" t="s">
        <v>12</v>
      </c>
      <c r="D901" s="2" t="s">
        <v>55</v>
      </c>
      <c r="E901" s="2" t="s">
        <v>46</v>
      </c>
      <c r="F901" s="2">
        <v>30</v>
      </c>
      <c r="G901" s="2" t="s">
        <v>78</v>
      </c>
      <c r="H901" s="3" t="s">
        <v>2502</v>
      </c>
      <c r="I901" s="2"/>
      <c r="J901" s="2" t="s">
        <v>8</v>
      </c>
      <c r="K901" s="2">
        <v>45750</v>
      </c>
      <c r="L901" s="2">
        <v>3</v>
      </c>
      <c r="M901" s="2">
        <v>4</v>
      </c>
      <c r="N901" s="2" t="s">
        <v>8</v>
      </c>
      <c r="O901" s="2">
        <v>1</v>
      </c>
      <c r="P901" s="2">
        <f ca="1">ROUND((IF(I901="",TODAY(),I901)-H901)/365,1)</f>
        <v>6.4</v>
      </c>
      <c r="Q901" s="2" t="str">
        <f t="shared" si="14"/>
        <v>Low</v>
      </c>
    </row>
    <row r="902" spans="1:17" x14ac:dyDescent="0.35">
      <c r="A902" s="2" t="s">
        <v>2503</v>
      </c>
      <c r="B902" s="2" t="s">
        <v>949</v>
      </c>
      <c r="C902" s="2" t="s">
        <v>11</v>
      </c>
      <c r="D902" s="2" t="s">
        <v>45</v>
      </c>
      <c r="E902" s="2" t="s">
        <v>46</v>
      </c>
      <c r="F902" s="2">
        <v>54</v>
      </c>
      <c r="G902" s="2" t="s">
        <v>56</v>
      </c>
      <c r="H902" s="3" t="s">
        <v>2504</v>
      </c>
      <c r="I902" s="3" t="s">
        <v>2465</v>
      </c>
      <c r="J902" s="2" t="s">
        <v>6</v>
      </c>
      <c r="K902" s="2">
        <v>119268</v>
      </c>
      <c r="L902" s="2">
        <v>3</v>
      </c>
      <c r="M902" s="2">
        <v>2</v>
      </c>
      <c r="N902" s="2" t="s">
        <v>6</v>
      </c>
      <c r="O902" s="2">
        <v>42</v>
      </c>
      <c r="P902" s="2">
        <f ca="1">ROUND((IF(I902="",TODAY(),I902)-H902)/365,1)</f>
        <v>8.1999999999999993</v>
      </c>
      <c r="Q902" s="2" t="str">
        <f t="shared" si="14"/>
        <v>N/A</v>
      </c>
    </row>
    <row r="903" spans="1:17" x14ac:dyDescent="0.35">
      <c r="A903" s="2" t="s">
        <v>2505</v>
      </c>
      <c r="B903" s="2" t="s">
        <v>1257</v>
      </c>
      <c r="C903" s="2" t="s">
        <v>7</v>
      </c>
      <c r="D903" s="2" t="s">
        <v>125</v>
      </c>
      <c r="E903" s="2" t="s">
        <v>46</v>
      </c>
      <c r="F903" s="2">
        <v>52</v>
      </c>
      <c r="G903" s="2" t="s">
        <v>56</v>
      </c>
      <c r="H903" s="3" t="s">
        <v>2506</v>
      </c>
      <c r="I903" s="2"/>
      <c r="J903" s="2" t="s">
        <v>8</v>
      </c>
      <c r="K903" s="2">
        <v>117864</v>
      </c>
      <c r="L903" s="2">
        <v>2</v>
      </c>
      <c r="M903" s="2">
        <v>5</v>
      </c>
      <c r="N903" s="2" t="s">
        <v>8</v>
      </c>
      <c r="O903" s="2">
        <v>37</v>
      </c>
      <c r="P903" s="2">
        <f ca="1">ROUND((IF(I903="",TODAY(),I903)-H903)/365,1)</f>
        <v>7.4</v>
      </c>
      <c r="Q903" s="2" t="str">
        <f t="shared" si="14"/>
        <v>Low</v>
      </c>
    </row>
    <row r="904" spans="1:17" x14ac:dyDescent="0.35">
      <c r="A904" s="2" t="s">
        <v>2507</v>
      </c>
      <c r="B904" s="2" t="s">
        <v>1377</v>
      </c>
      <c r="C904" s="2" t="s">
        <v>11</v>
      </c>
      <c r="D904" s="2" t="s">
        <v>66</v>
      </c>
      <c r="E904" s="2" t="s">
        <v>31</v>
      </c>
      <c r="F904" s="2">
        <v>44</v>
      </c>
      <c r="G904" s="2" t="s">
        <v>56</v>
      </c>
      <c r="H904" s="3" t="s">
        <v>2508</v>
      </c>
      <c r="I904" s="3" t="s">
        <v>2509</v>
      </c>
      <c r="J904" s="2" t="s">
        <v>6</v>
      </c>
      <c r="K904" s="2">
        <v>28869</v>
      </c>
      <c r="L904" s="2">
        <v>1</v>
      </c>
      <c r="M904" s="2">
        <v>4</v>
      </c>
      <c r="N904" s="2" t="s">
        <v>8</v>
      </c>
      <c r="O904" s="2">
        <v>3</v>
      </c>
      <c r="P904" s="2">
        <f ca="1">ROUND((IF(I904="",TODAY(),I904)-H904)/365,1)</f>
        <v>0.7</v>
      </c>
      <c r="Q904" s="2" t="str">
        <f t="shared" si="14"/>
        <v>N/A</v>
      </c>
    </row>
    <row r="905" spans="1:17" x14ac:dyDescent="0.35">
      <c r="A905" s="2" t="s">
        <v>2510</v>
      </c>
      <c r="B905" s="2" t="s">
        <v>2103</v>
      </c>
      <c r="C905" s="2" t="s">
        <v>12</v>
      </c>
      <c r="D905" s="2" t="s">
        <v>30</v>
      </c>
      <c r="E905" s="2" t="s">
        <v>46</v>
      </c>
      <c r="F905" s="2">
        <v>36</v>
      </c>
      <c r="G905" s="2" t="s">
        <v>78</v>
      </c>
      <c r="H905" s="3" t="s">
        <v>2511</v>
      </c>
      <c r="I905" s="2"/>
      <c r="J905" s="2" t="s">
        <v>8</v>
      </c>
      <c r="K905" s="2">
        <v>120441</v>
      </c>
      <c r="L905" s="2">
        <v>1</v>
      </c>
      <c r="M905" s="2">
        <v>2</v>
      </c>
      <c r="N905" s="2" t="s">
        <v>8</v>
      </c>
      <c r="O905" s="2">
        <v>12</v>
      </c>
      <c r="P905" s="2">
        <f ca="1">ROUND((IF(I905="",TODAY(),I905)-H905)/365,1)</f>
        <v>3</v>
      </c>
      <c r="Q905" s="2" t="str">
        <f t="shared" si="14"/>
        <v>Medium</v>
      </c>
    </row>
    <row r="906" spans="1:17" x14ac:dyDescent="0.35">
      <c r="A906" s="2" t="s">
        <v>2512</v>
      </c>
      <c r="B906" s="2" t="s">
        <v>928</v>
      </c>
      <c r="C906" s="2" t="s">
        <v>10</v>
      </c>
      <c r="D906" s="2" t="s">
        <v>111</v>
      </c>
      <c r="E906" s="2" t="s">
        <v>31</v>
      </c>
      <c r="F906" s="2">
        <v>29</v>
      </c>
      <c r="G906" s="2" t="s">
        <v>56</v>
      </c>
      <c r="H906" s="3" t="s">
        <v>2513</v>
      </c>
      <c r="I906" s="2"/>
      <c r="J906" s="2" t="s">
        <v>8</v>
      </c>
      <c r="K906" s="2">
        <v>104499</v>
      </c>
      <c r="L906" s="2">
        <v>4</v>
      </c>
      <c r="M906" s="2">
        <v>1</v>
      </c>
      <c r="N906" s="2" t="s">
        <v>8</v>
      </c>
      <c r="O906" s="2">
        <v>24</v>
      </c>
      <c r="P906" s="2">
        <f ca="1">ROUND((IF(I906="",TODAY(),I906)-H906)/365,1)</f>
        <v>11.2</v>
      </c>
      <c r="Q906" s="2" t="str">
        <f t="shared" si="14"/>
        <v>Medium</v>
      </c>
    </row>
    <row r="907" spans="1:17" x14ac:dyDescent="0.35">
      <c r="A907" s="2" t="s">
        <v>2514</v>
      </c>
      <c r="B907" s="2" t="s">
        <v>1957</v>
      </c>
      <c r="C907" s="2" t="s">
        <v>7</v>
      </c>
      <c r="D907" s="2" t="s">
        <v>125</v>
      </c>
      <c r="E907" s="2" t="s">
        <v>31</v>
      </c>
      <c r="F907" s="2">
        <v>30</v>
      </c>
      <c r="G907" s="2" t="s">
        <v>78</v>
      </c>
      <c r="H907" s="3" t="s">
        <v>2515</v>
      </c>
      <c r="I907" s="2"/>
      <c r="J907" s="2" t="s">
        <v>8</v>
      </c>
      <c r="K907" s="2">
        <v>89369</v>
      </c>
      <c r="L907" s="2">
        <v>2</v>
      </c>
      <c r="M907" s="2">
        <v>2</v>
      </c>
      <c r="N907" s="2" t="s">
        <v>8</v>
      </c>
      <c r="O907" s="2">
        <v>17</v>
      </c>
      <c r="P907" s="2">
        <f ca="1">ROUND((IF(I907="",TODAY(),I907)-H907)/365,1)</f>
        <v>4.5</v>
      </c>
      <c r="Q907" s="2" t="str">
        <f t="shared" si="14"/>
        <v>Medium</v>
      </c>
    </row>
    <row r="908" spans="1:17" x14ac:dyDescent="0.35">
      <c r="A908" s="2" t="s">
        <v>2516</v>
      </c>
      <c r="B908" s="2" t="s">
        <v>2517</v>
      </c>
      <c r="C908" s="2" t="s">
        <v>7</v>
      </c>
      <c r="D908" s="2" t="s">
        <v>155</v>
      </c>
      <c r="E908" s="2" t="s">
        <v>31</v>
      </c>
      <c r="F908" s="2">
        <v>34</v>
      </c>
      <c r="G908" s="2" t="s">
        <v>32</v>
      </c>
      <c r="H908" s="3" t="s">
        <v>2518</v>
      </c>
      <c r="I908" s="2"/>
      <c r="J908" s="2" t="s">
        <v>8</v>
      </c>
      <c r="K908" s="2">
        <v>131169</v>
      </c>
      <c r="L908" s="2">
        <v>2</v>
      </c>
      <c r="M908" s="2">
        <v>1</v>
      </c>
      <c r="N908" s="2" t="s">
        <v>8</v>
      </c>
      <c r="O908" s="2">
        <v>3</v>
      </c>
      <c r="P908" s="2">
        <f ca="1">ROUND((IF(I908="",TODAY(),I908)-H908)/365,1)</f>
        <v>10.6</v>
      </c>
      <c r="Q908" s="2" t="str">
        <f t="shared" si="14"/>
        <v>Medium</v>
      </c>
    </row>
    <row r="909" spans="1:17" x14ac:dyDescent="0.35">
      <c r="A909" s="2" t="s">
        <v>2519</v>
      </c>
      <c r="B909" s="2" t="s">
        <v>1702</v>
      </c>
      <c r="C909" s="2" t="s">
        <v>9</v>
      </c>
      <c r="D909" s="2" t="s">
        <v>41</v>
      </c>
      <c r="E909" s="2" t="s">
        <v>31</v>
      </c>
      <c r="F909" s="2">
        <v>55</v>
      </c>
      <c r="G909" s="2" t="s">
        <v>78</v>
      </c>
      <c r="H909" s="3" t="s">
        <v>492</v>
      </c>
      <c r="I909" s="3" t="s">
        <v>1820</v>
      </c>
      <c r="J909" s="2" t="s">
        <v>6</v>
      </c>
      <c r="K909" s="2">
        <v>90647</v>
      </c>
      <c r="L909" s="2">
        <v>5</v>
      </c>
      <c r="M909" s="2">
        <v>2</v>
      </c>
      <c r="N909" s="2" t="s">
        <v>6</v>
      </c>
      <c r="O909" s="2">
        <v>31</v>
      </c>
      <c r="P909" s="2">
        <f ca="1">ROUND((IF(I909="",TODAY(),I909)-H909)/365,1)</f>
        <v>1.7</v>
      </c>
      <c r="Q909" s="2" t="str">
        <f t="shared" si="14"/>
        <v>N/A</v>
      </c>
    </row>
    <row r="910" spans="1:17" x14ac:dyDescent="0.35">
      <c r="A910" s="2" t="s">
        <v>2520</v>
      </c>
      <c r="B910" s="2" t="s">
        <v>1257</v>
      </c>
      <c r="C910" s="2" t="s">
        <v>5</v>
      </c>
      <c r="D910" s="2" t="s">
        <v>207</v>
      </c>
      <c r="E910" s="2" t="s">
        <v>46</v>
      </c>
      <c r="F910" s="2">
        <v>58</v>
      </c>
      <c r="G910" s="2" t="s">
        <v>78</v>
      </c>
      <c r="H910" s="3" t="s">
        <v>2521</v>
      </c>
      <c r="I910" s="3" t="s">
        <v>1451</v>
      </c>
      <c r="J910" s="2" t="s">
        <v>6</v>
      </c>
      <c r="K910" s="2">
        <v>40456</v>
      </c>
      <c r="L910" s="2">
        <v>3</v>
      </c>
      <c r="M910" s="2">
        <v>5</v>
      </c>
      <c r="N910" s="2" t="s">
        <v>6</v>
      </c>
      <c r="O910" s="2">
        <v>7</v>
      </c>
      <c r="P910" s="2">
        <f ca="1">ROUND((IF(I910="",TODAY(),I910)-H910)/365,1)</f>
        <v>6.9</v>
      </c>
      <c r="Q910" s="2" t="str">
        <f t="shared" si="14"/>
        <v>N/A</v>
      </c>
    </row>
    <row r="911" spans="1:17" x14ac:dyDescent="0.35">
      <c r="A911" s="2" t="s">
        <v>2522</v>
      </c>
      <c r="B911" s="2" t="s">
        <v>2523</v>
      </c>
      <c r="C911" s="2" t="s">
        <v>11</v>
      </c>
      <c r="D911" s="2" t="s">
        <v>66</v>
      </c>
      <c r="E911" s="2" t="s">
        <v>31</v>
      </c>
      <c r="F911" s="2">
        <v>38</v>
      </c>
      <c r="G911" s="2" t="s">
        <v>56</v>
      </c>
      <c r="H911" s="3" t="s">
        <v>2524</v>
      </c>
      <c r="I911" s="2"/>
      <c r="J911" s="2" t="s">
        <v>8</v>
      </c>
      <c r="K911" s="2">
        <v>34801</v>
      </c>
      <c r="L911" s="2">
        <v>2</v>
      </c>
      <c r="M911" s="2">
        <v>1</v>
      </c>
      <c r="N911" s="2" t="s">
        <v>8</v>
      </c>
      <c r="O911" s="2">
        <v>19</v>
      </c>
      <c r="P911" s="2">
        <f ca="1">ROUND((IF(I911="",TODAY(),I911)-H911)/365,1)</f>
        <v>7.2</v>
      </c>
      <c r="Q911" s="2" t="str">
        <f t="shared" si="14"/>
        <v>Medium</v>
      </c>
    </row>
    <row r="912" spans="1:17" x14ac:dyDescent="0.35">
      <c r="A912" s="2" t="s">
        <v>2525</v>
      </c>
      <c r="B912" s="2" t="s">
        <v>370</v>
      </c>
      <c r="C912" s="2" t="s">
        <v>11</v>
      </c>
      <c r="D912" s="2" t="s">
        <v>98</v>
      </c>
      <c r="E912" s="2" t="s">
        <v>46</v>
      </c>
      <c r="F912" s="2">
        <v>25</v>
      </c>
      <c r="G912" s="2" t="s">
        <v>78</v>
      </c>
      <c r="H912" s="3" t="s">
        <v>482</v>
      </c>
      <c r="I912" s="2"/>
      <c r="J912" s="2" t="s">
        <v>8</v>
      </c>
      <c r="K912" s="2">
        <v>147804</v>
      </c>
      <c r="L912" s="2">
        <v>5</v>
      </c>
      <c r="M912" s="2">
        <v>1</v>
      </c>
      <c r="N912" s="2" t="s">
        <v>8</v>
      </c>
      <c r="O912" s="2">
        <v>31</v>
      </c>
      <c r="P912" s="2">
        <f ca="1">ROUND((IF(I912="",TODAY(),I912)-H912)/365,1)</f>
        <v>5.5</v>
      </c>
      <c r="Q912" s="2" t="str">
        <f t="shared" si="14"/>
        <v>Medium</v>
      </c>
    </row>
    <row r="913" spans="1:17" x14ac:dyDescent="0.35">
      <c r="A913" s="2" t="s">
        <v>2526</v>
      </c>
      <c r="B913" s="2" t="s">
        <v>2527</v>
      </c>
      <c r="C913" s="2" t="s">
        <v>5</v>
      </c>
      <c r="D913" s="2" t="s">
        <v>207</v>
      </c>
      <c r="E913" s="2" t="s">
        <v>46</v>
      </c>
      <c r="F913" s="2">
        <v>43</v>
      </c>
      <c r="G913" s="2" t="s">
        <v>56</v>
      </c>
      <c r="H913" s="3" t="s">
        <v>2528</v>
      </c>
      <c r="I913" s="3" t="s">
        <v>2529</v>
      </c>
      <c r="J913" s="2" t="s">
        <v>6</v>
      </c>
      <c r="K913" s="2">
        <v>132054</v>
      </c>
      <c r="L913" s="2">
        <v>2</v>
      </c>
      <c r="M913" s="2">
        <v>2</v>
      </c>
      <c r="N913" s="2" t="s">
        <v>8</v>
      </c>
      <c r="O913" s="2">
        <v>36</v>
      </c>
      <c r="P913" s="2">
        <f ca="1">ROUND((IF(I913="",TODAY(),I913)-H913)/365,1)</f>
        <v>0.3</v>
      </c>
      <c r="Q913" s="2" t="str">
        <f t="shared" si="14"/>
        <v>N/A</v>
      </c>
    </row>
    <row r="914" spans="1:17" x14ac:dyDescent="0.35">
      <c r="A914" s="2" t="s">
        <v>2530</v>
      </c>
      <c r="B914" s="2" t="s">
        <v>1412</v>
      </c>
      <c r="C914" s="2" t="s">
        <v>7</v>
      </c>
      <c r="D914" s="2" t="s">
        <v>125</v>
      </c>
      <c r="E914" s="2" t="s">
        <v>31</v>
      </c>
      <c r="F914" s="2">
        <v>24</v>
      </c>
      <c r="G914" s="2" t="s">
        <v>32</v>
      </c>
      <c r="H914" s="3" t="s">
        <v>2531</v>
      </c>
      <c r="I914" s="2"/>
      <c r="J914" s="2" t="s">
        <v>8</v>
      </c>
      <c r="K914" s="2">
        <v>146813</v>
      </c>
      <c r="L914" s="2">
        <v>5</v>
      </c>
      <c r="M914" s="2">
        <v>4</v>
      </c>
      <c r="N914" s="2" t="s">
        <v>8</v>
      </c>
      <c r="O914" s="2">
        <v>40</v>
      </c>
      <c r="P914" s="2">
        <f ca="1">ROUND((IF(I914="",TODAY(),I914)-H914)/365,1)</f>
        <v>7.7</v>
      </c>
      <c r="Q914" s="2" t="str">
        <f t="shared" si="14"/>
        <v>Low</v>
      </c>
    </row>
    <row r="915" spans="1:17" x14ac:dyDescent="0.35">
      <c r="A915" s="2" t="s">
        <v>2532</v>
      </c>
      <c r="B915" s="2" t="s">
        <v>2081</v>
      </c>
      <c r="C915" s="2" t="s">
        <v>10</v>
      </c>
      <c r="D915" s="2" t="s">
        <v>111</v>
      </c>
      <c r="E915" s="2" t="s">
        <v>46</v>
      </c>
      <c r="F915" s="2">
        <v>24</v>
      </c>
      <c r="G915" s="2" t="s">
        <v>32</v>
      </c>
      <c r="H915" s="3" t="s">
        <v>2533</v>
      </c>
      <c r="I915" s="3" t="s">
        <v>2534</v>
      </c>
      <c r="J915" s="2" t="s">
        <v>6</v>
      </c>
      <c r="K915" s="2">
        <v>64769</v>
      </c>
      <c r="L915" s="2">
        <v>4</v>
      </c>
      <c r="M915" s="2">
        <v>3</v>
      </c>
      <c r="N915" s="2" t="s">
        <v>8</v>
      </c>
      <c r="O915" s="2">
        <v>31</v>
      </c>
      <c r="P915" s="2">
        <f ca="1">ROUND((IF(I915="",TODAY(),I915)-H915)/365,1)</f>
        <v>0.8</v>
      </c>
      <c r="Q915" s="2" t="str">
        <f t="shared" si="14"/>
        <v>N/A</v>
      </c>
    </row>
    <row r="916" spans="1:17" x14ac:dyDescent="0.35">
      <c r="A916" s="2" t="s">
        <v>2535</v>
      </c>
      <c r="B916" s="2" t="s">
        <v>1101</v>
      </c>
      <c r="C916" s="2" t="s">
        <v>5</v>
      </c>
      <c r="D916" s="2" t="s">
        <v>94</v>
      </c>
      <c r="E916" s="2" t="s">
        <v>46</v>
      </c>
      <c r="F916" s="2">
        <v>52</v>
      </c>
      <c r="G916" s="2" t="s">
        <v>78</v>
      </c>
      <c r="H916" s="3" t="s">
        <v>2536</v>
      </c>
      <c r="I916" s="2"/>
      <c r="J916" s="2" t="s">
        <v>8</v>
      </c>
      <c r="K916" s="2">
        <v>116925</v>
      </c>
      <c r="L916" s="2">
        <v>2</v>
      </c>
      <c r="M916" s="2">
        <v>4</v>
      </c>
      <c r="N916" s="2" t="s">
        <v>8</v>
      </c>
      <c r="O916" s="2">
        <v>28</v>
      </c>
      <c r="P916" s="2">
        <f ca="1">ROUND((IF(I916="",TODAY(),I916)-H916)/365,1)</f>
        <v>11</v>
      </c>
      <c r="Q916" s="2" t="str">
        <f t="shared" si="14"/>
        <v>Low</v>
      </c>
    </row>
    <row r="917" spans="1:17" x14ac:dyDescent="0.35">
      <c r="A917" s="2" t="s">
        <v>2537</v>
      </c>
      <c r="B917" s="2" t="s">
        <v>1548</v>
      </c>
      <c r="C917" s="2" t="s">
        <v>5</v>
      </c>
      <c r="D917" s="2" t="s">
        <v>207</v>
      </c>
      <c r="E917" s="2" t="s">
        <v>31</v>
      </c>
      <c r="F917" s="2">
        <v>44</v>
      </c>
      <c r="G917" s="2" t="s">
        <v>56</v>
      </c>
      <c r="H917" s="3" t="s">
        <v>2538</v>
      </c>
      <c r="I917" s="3" t="s">
        <v>2539</v>
      </c>
      <c r="J917" s="2" t="s">
        <v>6</v>
      </c>
      <c r="K917" s="2">
        <v>37057</v>
      </c>
      <c r="L917" s="2">
        <v>2</v>
      </c>
      <c r="M917" s="2">
        <v>1</v>
      </c>
      <c r="N917" s="2" t="s">
        <v>6</v>
      </c>
      <c r="O917" s="2">
        <v>15</v>
      </c>
      <c r="P917" s="2">
        <f ca="1">ROUND((IF(I917="",TODAY(),I917)-H917)/365,1)</f>
        <v>4.8</v>
      </c>
      <c r="Q917" s="2" t="str">
        <f t="shared" si="14"/>
        <v>N/A</v>
      </c>
    </row>
    <row r="918" spans="1:17" x14ac:dyDescent="0.35">
      <c r="A918" s="2" t="s">
        <v>2540</v>
      </c>
      <c r="B918" s="2" t="s">
        <v>829</v>
      </c>
      <c r="C918" s="2" t="s">
        <v>12</v>
      </c>
      <c r="D918" s="2" t="s">
        <v>55</v>
      </c>
      <c r="E918" s="2" t="s">
        <v>31</v>
      </c>
      <c r="F918" s="2">
        <v>25</v>
      </c>
      <c r="G918" s="2" t="s">
        <v>78</v>
      </c>
      <c r="H918" s="3" t="s">
        <v>2541</v>
      </c>
      <c r="I918" s="2"/>
      <c r="J918" s="2" t="s">
        <v>8</v>
      </c>
      <c r="K918" s="2">
        <v>30730</v>
      </c>
      <c r="L918" s="2">
        <v>2</v>
      </c>
      <c r="M918" s="2">
        <v>4</v>
      </c>
      <c r="N918" s="2" t="s">
        <v>6</v>
      </c>
      <c r="O918" s="2">
        <v>19</v>
      </c>
      <c r="P918" s="2">
        <f ca="1">ROUND((IF(I918="",TODAY(),I918)-H918)/365,1)</f>
        <v>10.8</v>
      </c>
      <c r="Q918" s="2" t="str">
        <f t="shared" si="14"/>
        <v>Medium</v>
      </c>
    </row>
    <row r="919" spans="1:17" x14ac:dyDescent="0.35">
      <c r="A919" s="2" t="s">
        <v>2542</v>
      </c>
      <c r="B919" s="2" t="s">
        <v>440</v>
      </c>
      <c r="C919" s="2" t="s">
        <v>12</v>
      </c>
      <c r="D919" s="2" t="s">
        <v>30</v>
      </c>
      <c r="E919" s="2" t="s">
        <v>46</v>
      </c>
      <c r="F919" s="2">
        <v>47</v>
      </c>
      <c r="G919" s="2" t="s">
        <v>56</v>
      </c>
      <c r="H919" s="3" t="s">
        <v>2543</v>
      </c>
      <c r="I919" s="3" t="s">
        <v>2544</v>
      </c>
      <c r="J919" s="2" t="s">
        <v>6</v>
      </c>
      <c r="K919" s="2">
        <v>147994</v>
      </c>
      <c r="L919" s="2">
        <v>1</v>
      </c>
      <c r="M919" s="2">
        <v>1</v>
      </c>
      <c r="N919" s="2" t="s">
        <v>8</v>
      </c>
      <c r="O919" s="2">
        <v>17</v>
      </c>
      <c r="P919" s="2">
        <f ca="1">ROUND((IF(I919="",TODAY(),I919)-H919)/365,1)</f>
        <v>4.2</v>
      </c>
      <c r="Q919" s="2" t="str">
        <f t="shared" si="14"/>
        <v>N/A</v>
      </c>
    </row>
    <row r="920" spans="1:17" x14ac:dyDescent="0.35">
      <c r="A920" s="2" t="s">
        <v>2545</v>
      </c>
      <c r="B920" s="2" t="s">
        <v>2546</v>
      </c>
      <c r="C920" s="2" t="s">
        <v>7</v>
      </c>
      <c r="D920" s="2" t="s">
        <v>125</v>
      </c>
      <c r="E920" s="2" t="s">
        <v>46</v>
      </c>
      <c r="F920" s="2">
        <v>40</v>
      </c>
      <c r="G920" s="2" t="s">
        <v>56</v>
      </c>
      <c r="H920" s="3" t="s">
        <v>2547</v>
      </c>
      <c r="I920" s="2"/>
      <c r="J920" s="2" t="s">
        <v>8</v>
      </c>
      <c r="K920" s="2">
        <v>116458</v>
      </c>
      <c r="L920" s="2">
        <v>3</v>
      </c>
      <c r="M920" s="2">
        <v>5</v>
      </c>
      <c r="N920" s="2" t="s">
        <v>8</v>
      </c>
      <c r="O920" s="2">
        <v>21</v>
      </c>
      <c r="P920" s="2">
        <f ca="1">ROUND((IF(I920="",TODAY(),I920)-H920)/365,1)</f>
        <v>1.9</v>
      </c>
      <c r="Q920" s="2" t="str">
        <f t="shared" si="14"/>
        <v>Low</v>
      </c>
    </row>
    <row r="921" spans="1:17" x14ac:dyDescent="0.35">
      <c r="A921" s="2" t="s">
        <v>2548</v>
      </c>
      <c r="B921" s="2" t="s">
        <v>279</v>
      </c>
      <c r="C921" s="2" t="s">
        <v>5</v>
      </c>
      <c r="D921" s="2" t="s">
        <v>207</v>
      </c>
      <c r="E921" s="2" t="s">
        <v>46</v>
      </c>
      <c r="F921" s="2">
        <v>39</v>
      </c>
      <c r="G921" s="2" t="s">
        <v>56</v>
      </c>
      <c r="H921" s="3" t="s">
        <v>1438</v>
      </c>
      <c r="I921" s="2"/>
      <c r="J921" s="2" t="s">
        <v>8</v>
      </c>
      <c r="K921" s="2">
        <v>64968</v>
      </c>
      <c r="L921" s="2">
        <v>5</v>
      </c>
      <c r="M921" s="2">
        <v>2</v>
      </c>
      <c r="N921" s="2" t="s">
        <v>6</v>
      </c>
      <c r="O921" s="2">
        <v>15</v>
      </c>
      <c r="P921" s="2">
        <f ca="1">ROUND((IF(I921="",TODAY(),I921)-H921)/365,1)</f>
        <v>10.7</v>
      </c>
      <c r="Q921" s="2" t="str">
        <f t="shared" si="14"/>
        <v>High</v>
      </c>
    </row>
    <row r="922" spans="1:17" x14ac:dyDescent="0.35">
      <c r="A922" s="2" t="s">
        <v>2549</v>
      </c>
      <c r="B922" s="2" t="s">
        <v>82</v>
      </c>
      <c r="C922" s="2" t="s">
        <v>5</v>
      </c>
      <c r="D922" s="2" t="s">
        <v>207</v>
      </c>
      <c r="E922" s="2" t="s">
        <v>31</v>
      </c>
      <c r="F922" s="2">
        <v>50</v>
      </c>
      <c r="G922" s="2" t="s">
        <v>32</v>
      </c>
      <c r="H922" s="3" t="s">
        <v>2550</v>
      </c>
      <c r="I922" s="3" t="s">
        <v>1582</v>
      </c>
      <c r="J922" s="2" t="s">
        <v>6</v>
      </c>
      <c r="K922" s="2">
        <v>134618</v>
      </c>
      <c r="L922" s="2">
        <v>1</v>
      </c>
      <c r="M922" s="2">
        <v>1</v>
      </c>
      <c r="N922" s="2" t="s">
        <v>8</v>
      </c>
      <c r="O922" s="2">
        <v>32</v>
      </c>
      <c r="P922" s="2">
        <f ca="1">ROUND((IF(I922="",TODAY(),I922)-H922)/365,1)</f>
        <v>3.5</v>
      </c>
      <c r="Q922" s="2" t="str">
        <f t="shared" si="14"/>
        <v>N/A</v>
      </c>
    </row>
    <row r="923" spans="1:17" x14ac:dyDescent="0.35">
      <c r="A923" s="2" t="s">
        <v>2551</v>
      </c>
      <c r="B923" s="2" t="s">
        <v>2100</v>
      </c>
      <c r="C923" s="2" t="s">
        <v>10</v>
      </c>
      <c r="D923" s="2" t="s">
        <v>258</v>
      </c>
      <c r="E923" s="2" t="s">
        <v>31</v>
      </c>
      <c r="F923" s="2">
        <v>46</v>
      </c>
      <c r="G923" s="2" t="s">
        <v>32</v>
      </c>
      <c r="H923" s="3" t="s">
        <v>2552</v>
      </c>
      <c r="I923" s="3" t="s">
        <v>1451</v>
      </c>
      <c r="J923" s="2" t="s">
        <v>6</v>
      </c>
      <c r="K923" s="2">
        <v>30821</v>
      </c>
      <c r="L923" s="2">
        <v>4</v>
      </c>
      <c r="M923" s="2">
        <v>4</v>
      </c>
      <c r="N923" s="2" t="s">
        <v>6</v>
      </c>
      <c r="O923" s="2">
        <v>29</v>
      </c>
      <c r="P923" s="2">
        <f ca="1">ROUND((IF(I923="",TODAY(),I923)-H923)/365,1)</f>
        <v>2.2000000000000002</v>
      </c>
      <c r="Q923" s="2" t="str">
        <f t="shared" si="14"/>
        <v>N/A</v>
      </c>
    </row>
    <row r="924" spans="1:17" x14ac:dyDescent="0.35">
      <c r="A924" s="2" t="s">
        <v>2553</v>
      </c>
      <c r="B924" s="2" t="s">
        <v>582</v>
      </c>
      <c r="C924" s="2" t="s">
        <v>12</v>
      </c>
      <c r="D924" s="2" t="s">
        <v>133</v>
      </c>
      <c r="E924" s="2" t="s">
        <v>31</v>
      </c>
      <c r="F924" s="2">
        <v>56</v>
      </c>
      <c r="G924" s="2" t="s">
        <v>78</v>
      </c>
      <c r="H924" s="3" t="s">
        <v>2554</v>
      </c>
      <c r="I924" s="2"/>
      <c r="J924" s="2" t="s">
        <v>8</v>
      </c>
      <c r="K924" s="2">
        <v>145939</v>
      </c>
      <c r="L924" s="2">
        <v>5</v>
      </c>
      <c r="M924" s="2">
        <v>1</v>
      </c>
      <c r="N924" s="2" t="s">
        <v>6</v>
      </c>
      <c r="O924" s="2">
        <v>22</v>
      </c>
      <c r="P924" s="2">
        <f ca="1">ROUND((IF(I924="",TODAY(),I924)-H924)/365,1)</f>
        <v>3</v>
      </c>
      <c r="Q924" s="2" t="str">
        <f t="shared" si="14"/>
        <v>High</v>
      </c>
    </row>
    <row r="925" spans="1:17" x14ac:dyDescent="0.35">
      <c r="A925" s="2" t="s">
        <v>2555</v>
      </c>
      <c r="B925" s="2" t="s">
        <v>2556</v>
      </c>
      <c r="C925" s="2" t="s">
        <v>11</v>
      </c>
      <c r="D925" s="2" t="s">
        <v>45</v>
      </c>
      <c r="E925" s="2" t="s">
        <v>31</v>
      </c>
      <c r="F925" s="2">
        <v>49</v>
      </c>
      <c r="G925" s="2" t="s">
        <v>56</v>
      </c>
      <c r="H925" s="3" t="s">
        <v>2557</v>
      </c>
      <c r="I925" s="2"/>
      <c r="J925" s="2" t="s">
        <v>8</v>
      </c>
      <c r="K925" s="2">
        <v>75870</v>
      </c>
      <c r="L925" s="2">
        <v>1</v>
      </c>
      <c r="M925" s="2">
        <v>1</v>
      </c>
      <c r="N925" s="2" t="s">
        <v>8</v>
      </c>
      <c r="O925" s="2">
        <v>36</v>
      </c>
      <c r="P925" s="2">
        <f ca="1">ROUND((IF(I925="",TODAY(),I925)-H925)/365,1)</f>
        <v>1.9</v>
      </c>
      <c r="Q925" s="2" t="str">
        <f t="shared" si="14"/>
        <v>Medium</v>
      </c>
    </row>
    <row r="926" spans="1:17" x14ac:dyDescent="0.35">
      <c r="A926" s="2" t="s">
        <v>2558</v>
      </c>
      <c r="B926" s="2" t="s">
        <v>2559</v>
      </c>
      <c r="C926" s="2" t="s">
        <v>9</v>
      </c>
      <c r="D926" s="2" t="s">
        <v>77</v>
      </c>
      <c r="E926" s="2" t="s">
        <v>46</v>
      </c>
      <c r="F926" s="2">
        <v>58</v>
      </c>
      <c r="G926" s="2" t="s">
        <v>32</v>
      </c>
      <c r="H926" s="3" t="s">
        <v>626</v>
      </c>
      <c r="I926" s="3" t="s">
        <v>2560</v>
      </c>
      <c r="J926" s="2" t="s">
        <v>6</v>
      </c>
      <c r="K926" s="2">
        <v>122731</v>
      </c>
      <c r="L926" s="2">
        <v>4</v>
      </c>
      <c r="M926" s="2">
        <v>2</v>
      </c>
      <c r="N926" s="2" t="s">
        <v>8</v>
      </c>
      <c r="O926" s="2">
        <v>30</v>
      </c>
      <c r="P926" s="2">
        <f ca="1">ROUND((IF(I926="",TODAY(),I926)-H926)/365,1)</f>
        <v>0.2</v>
      </c>
      <c r="Q926" s="2" t="str">
        <f t="shared" si="14"/>
        <v>N/A</v>
      </c>
    </row>
    <row r="927" spans="1:17" x14ac:dyDescent="0.35">
      <c r="A927" s="2" t="s">
        <v>2561</v>
      </c>
      <c r="B927" s="2" t="s">
        <v>1736</v>
      </c>
      <c r="C927" s="2" t="s">
        <v>9</v>
      </c>
      <c r="D927" s="2" t="s">
        <v>77</v>
      </c>
      <c r="E927" s="2" t="s">
        <v>46</v>
      </c>
      <c r="F927" s="2">
        <v>56</v>
      </c>
      <c r="G927" s="2" t="s">
        <v>78</v>
      </c>
      <c r="H927" s="3" t="s">
        <v>2562</v>
      </c>
      <c r="I927" s="3" t="s">
        <v>574</v>
      </c>
      <c r="J927" s="2" t="s">
        <v>6</v>
      </c>
      <c r="K927" s="2">
        <v>60949</v>
      </c>
      <c r="L927" s="2">
        <v>1</v>
      </c>
      <c r="M927" s="2">
        <v>4</v>
      </c>
      <c r="N927" s="2" t="s">
        <v>6</v>
      </c>
      <c r="O927" s="2">
        <v>40</v>
      </c>
      <c r="P927" s="2">
        <f ca="1">ROUND((IF(I927="",TODAY(),I927)-H927)/365,1)</f>
        <v>3</v>
      </c>
      <c r="Q927" s="2" t="str">
        <f t="shared" si="14"/>
        <v>N/A</v>
      </c>
    </row>
    <row r="928" spans="1:17" x14ac:dyDescent="0.35">
      <c r="A928" s="2" t="s">
        <v>2563</v>
      </c>
      <c r="B928" s="2" t="s">
        <v>2564</v>
      </c>
      <c r="C928" s="2" t="s">
        <v>12</v>
      </c>
      <c r="D928" s="2" t="s">
        <v>55</v>
      </c>
      <c r="E928" s="2" t="s">
        <v>31</v>
      </c>
      <c r="F928" s="2">
        <v>58</v>
      </c>
      <c r="G928" s="2" t="s">
        <v>32</v>
      </c>
      <c r="H928" s="3" t="s">
        <v>2565</v>
      </c>
      <c r="I928" s="2"/>
      <c r="J928" s="2" t="s">
        <v>8</v>
      </c>
      <c r="K928" s="2">
        <v>85650</v>
      </c>
      <c r="L928" s="2">
        <v>2</v>
      </c>
      <c r="M928" s="2">
        <v>3</v>
      </c>
      <c r="N928" s="2" t="s">
        <v>6</v>
      </c>
      <c r="O928" s="2">
        <v>29</v>
      </c>
      <c r="P928" s="2">
        <f ca="1">ROUND((IF(I928="",TODAY(),I928)-H928)/365,1)</f>
        <v>4.2</v>
      </c>
      <c r="Q928" s="2" t="str">
        <f t="shared" si="14"/>
        <v>Medium</v>
      </c>
    </row>
    <row r="929" spans="1:17" x14ac:dyDescent="0.35">
      <c r="A929" s="2" t="s">
        <v>2566</v>
      </c>
      <c r="B929" s="2" t="s">
        <v>874</v>
      </c>
      <c r="C929" s="2" t="s">
        <v>10</v>
      </c>
      <c r="D929" s="2" t="s">
        <v>111</v>
      </c>
      <c r="E929" s="2" t="s">
        <v>46</v>
      </c>
      <c r="F929" s="2">
        <v>35</v>
      </c>
      <c r="G929" s="2" t="s">
        <v>78</v>
      </c>
      <c r="H929" s="3" t="s">
        <v>2567</v>
      </c>
      <c r="I929" s="2"/>
      <c r="J929" s="2" t="s">
        <v>8</v>
      </c>
      <c r="K929" s="2">
        <v>97279</v>
      </c>
      <c r="L929" s="2">
        <v>3</v>
      </c>
      <c r="M929" s="2">
        <v>1</v>
      </c>
      <c r="N929" s="2" t="s">
        <v>6</v>
      </c>
      <c r="O929" s="2">
        <v>40</v>
      </c>
      <c r="P929" s="2">
        <f ca="1">ROUND((IF(I929="",TODAY(),I929)-H929)/365,1)</f>
        <v>7</v>
      </c>
      <c r="Q929" s="2" t="str">
        <f t="shared" si="14"/>
        <v>High</v>
      </c>
    </row>
    <row r="930" spans="1:17" x14ac:dyDescent="0.35">
      <c r="A930" s="2" t="s">
        <v>2568</v>
      </c>
      <c r="B930" s="2" t="s">
        <v>2569</v>
      </c>
      <c r="C930" s="2" t="s">
        <v>10</v>
      </c>
      <c r="D930" s="2" t="s">
        <v>111</v>
      </c>
      <c r="E930" s="2" t="s">
        <v>46</v>
      </c>
      <c r="F930" s="2">
        <v>53</v>
      </c>
      <c r="G930" s="2" t="s">
        <v>32</v>
      </c>
      <c r="H930" s="3" t="s">
        <v>2570</v>
      </c>
      <c r="I930" s="3" t="s">
        <v>2571</v>
      </c>
      <c r="J930" s="2" t="s">
        <v>6</v>
      </c>
      <c r="K930" s="2">
        <v>110980</v>
      </c>
      <c r="L930" s="2">
        <v>2</v>
      </c>
      <c r="M930" s="2">
        <v>2</v>
      </c>
      <c r="N930" s="2" t="s">
        <v>6</v>
      </c>
      <c r="O930" s="2">
        <v>40</v>
      </c>
      <c r="P930" s="2">
        <f ca="1">ROUND((IF(I930="",TODAY(),I930)-H930)/365,1)</f>
        <v>7.5</v>
      </c>
      <c r="Q930" s="2" t="str">
        <f t="shared" si="14"/>
        <v>N/A</v>
      </c>
    </row>
    <row r="931" spans="1:17" x14ac:dyDescent="0.35">
      <c r="A931" s="2" t="s">
        <v>2572</v>
      </c>
      <c r="B931" s="2" t="s">
        <v>1408</v>
      </c>
      <c r="C931" s="2" t="s">
        <v>5</v>
      </c>
      <c r="D931" s="2" t="s">
        <v>94</v>
      </c>
      <c r="E931" s="2" t="s">
        <v>46</v>
      </c>
      <c r="F931" s="2">
        <v>24</v>
      </c>
      <c r="G931" s="2" t="s">
        <v>56</v>
      </c>
      <c r="H931" s="3" t="s">
        <v>1049</v>
      </c>
      <c r="I931" s="2"/>
      <c r="J931" s="2" t="s">
        <v>8</v>
      </c>
      <c r="K931" s="2">
        <v>27112</v>
      </c>
      <c r="L931" s="2">
        <v>3</v>
      </c>
      <c r="M931" s="2">
        <v>1</v>
      </c>
      <c r="N931" s="2" t="s">
        <v>8</v>
      </c>
      <c r="O931" s="2">
        <v>17</v>
      </c>
      <c r="P931" s="2">
        <f ca="1">ROUND((IF(I931="",TODAY(),I931)-H931)/365,1)</f>
        <v>5.4</v>
      </c>
      <c r="Q931" s="2" t="str">
        <f t="shared" si="14"/>
        <v>Medium</v>
      </c>
    </row>
    <row r="932" spans="1:17" x14ac:dyDescent="0.35">
      <c r="A932" s="2" t="s">
        <v>2573</v>
      </c>
      <c r="B932" s="2" t="s">
        <v>886</v>
      </c>
      <c r="C932" s="2" t="s">
        <v>9</v>
      </c>
      <c r="D932" s="2" t="s">
        <v>77</v>
      </c>
      <c r="E932" s="2" t="s">
        <v>31</v>
      </c>
      <c r="F932" s="2">
        <v>44</v>
      </c>
      <c r="G932" s="2" t="s">
        <v>32</v>
      </c>
      <c r="H932" s="3" t="s">
        <v>726</v>
      </c>
      <c r="I932" s="3" t="s">
        <v>1451</v>
      </c>
      <c r="J932" s="2" t="s">
        <v>6</v>
      </c>
      <c r="K932" s="2">
        <v>35151</v>
      </c>
      <c r="L932" s="2">
        <v>1</v>
      </c>
      <c r="M932" s="2">
        <v>4</v>
      </c>
      <c r="N932" s="2" t="s">
        <v>6</v>
      </c>
      <c r="O932" s="2">
        <v>33</v>
      </c>
      <c r="P932" s="2">
        <f ca="1">ROUND((IF(I932="",TODAY(),I932)-H932)/365,1)</f>
        <v>6.6</v>
      </c>
      <c r="Q932" s="2" t="str">
        <f t="shared" si="14"/>
        <v>N/A</v>
      </c>
    </row>
    <row r="933" spans="1:17" x14ac:dyDescent="0.35">
      <c r="A933" s="2" t="s">
        <v>2574</v>
      </c>
      <c r="B933" s="2" t="s">
        <v>2575</v>
      </c>
      <c r="C933" s="2" t="s">
        <v>9</v>
      </c>
      <c r="D933" s="2" t="s">
        <v>77</v>
      </c>
      <c r="E933" s="2" t="s">
        <v>46</v>
      </c>
      <c r="F933" s="2">
        <v>40</v>
      </c>
      <c r="G933" s="2" t="s">
        <v>56</v>
      </c>
      <c r="H933" s="3" t="s">
        <v>2576</v>
      </c>
      <c r="I933" s="2"/>
      <c r="J933" s="2" t="s">
        <v>8</v>
      </c>
      <c r="K933" s="2">
        <v>78495</v>
      </c>
      <c r="L933" s="2">
        <v>3</v>
      </c>
      <c r="M933" s="2">
        <v>5</v>
      </c>
      <c r="N933" s="2" t="s">
        <v>6</v>
      </c>
      <c r="O933" s="2">
        <v>22</v>
      </c>
      <c r="P933" s="2">
        <f ca="1">ROUND((IF(I933="",TODAY(),I933)-H933)/365,1)</f>
        <v>10</v>
      </c>
      <c r="Q933" s="2" t="str">
        <f t="shared" si="14"/>
        <v>Medium</v>
      </c>
    </row>
    <row r="934" spans="1:17" x14ac:dyDescent="0.35">
      <c r="A934" s="2" t="s">
        <v>2577</v>
      </c>
      <c r="B934" s="2" t="s">
        <v>1135</v>
      </c>
      <c r="C934" s="2" t="s">
        <v>9</v>
      </c>
      <c r="D934" s="2" t="s">
        <v>77</v>
      </c>
      <c r="E934" s="2" t="s">
        <v>31</v>
      </c>
      <c r="F934" s="2">
        <v>24</v>
      </c>
      <c r="G934" s="2" t="s">
        <v>32</v>
      </c>
      <c r="H934" s="3" t="s">
        <v>2314</v>
      </c>
      <c r="I934" s="2"/>
      <c r="J934" s="2" t="s">
        <v>8</v>
      </c>
      <c r="K934" s="2">
        <v>104827</v>
      </c>
      <c r="L934" s="2">
        <v>1</v>
      </c>
      <c r="M934" s="2">
        <v>5</v>
      </c>
      <c r="N934" s="2" t="s">
        <v>8</v>
      </c>
      <c r="O934" s="2">
        <v>7</v>
      </c>
      <c r="P934" s="2">
        <f ca="1">ROUND((IF(I934="",TODAY(),I934)-H934)/365,1)</f>
        <v>8.3000000000000007</v>
      </c>
      <c r="Q934" s="2" t="str">
        <f t="shared" si="14"/>
        <v>Low</v>
      </c>
    </row>
    <row r="935" spans="1:17" x14ac:dyDescent="0.35">
      <c r="A935" s="2" t="s">
        <v>2578</v>
      </c>
      <c r="B935" s="2" t="s">
        <v>2579</v>
      </c>
      <c r="C935" s="2" t="s">
        <v>11</v>
      </c>
      <c r="D935" s="2" t="s">
        <v>98</v>
      </c>
      <c r="E935" s="2" t="s">
        <v>46</v>
      </c>
      <c r="F935" s="2">
        <v>24</v>
      </c>
      <c r="G935" s="2" t="s">
        <v>32</v>
      </c>
      <c r="H935" s="3" t="s">
        <v>2580</v>
      </c>
      <c r="I935" s="2"/>
      <c r="J935" s="2" t="s">
        <v>8</v>
      </c>
      <c r="K935" s="2">
        <v>147620</v>
      </c>
      <c r="L935" s="2">
        <v>1</v>
      </c>
      <c r="M935" s="2">
        <v>4</v>
      </c>
      <c r="N935" s="2" t="s">
        <v>8</v>
      </c>
      <c r="O935" s="2">
        <v>5</v>
      </c>
      <c r="P935" s="2">
        <f ca="1">ROUND((IF(I935="",TODAY(),I935)-H935)/365,1)</f>
        <v>4.2</v>
      </c>
      <c r="Q935" s="2" t="str">
        <f t="shared" si="14"/>
        <v>Low</v>
      </c>
    </row>
    <row r="936" spans="1:17" x14ac:dyDescent="0.35">
      <c r="A936" s="2" t="s">
        <v>2581</v>
      </c>
      <c r="B936" s="2" t="s">
        <v>1894</v>
      </c>
      <c r="C936" s="2" t="s">
        <v>11</v>
      </c>
      <c r="D936" s="2" t="s">
        <v>98</v>
      </c>
      <c r="E936" s="2" t="s">
        <v>46</v>
      </c>
      <c r="F936" s="2">
        <v>55</v>
      </c>
      <c r="G936" s="2" t="s">
        <v>78</v>
      </c>
      <c r="H936" s="3" t="s">
        <v>1473</v>
      </c>
      <c r="I936" s="3" t="s">
        <v>2582</v>
      </c>
      <c r="J936" s="2" t="s">
        <v>6</v>
      </c>
      <c r="K936" s="2">
        <v>82805</v>
      </c>
      <c r="L936" s="2">
        <v>5</v>
      </c>
      <c r="M936" s="2">
        <v>4</v>
      </c>
      <c r="N936" s="2" t="s">
        <v>6</v>
      </c>
      <c r="O936" s="2">
        <v>34</v>
      </c>
      <c r="P936" s="2">
        <f ca="1">ROUND((IF(I936="",TODAY(),I936)-H936)/365,1)</f>
        <v>2.5</v>
      </c>
      <c r="Q936" s="2" t="str">
        <f t="shared" si="14"/>
        <v>N/A</v>
      </c>
    </row>
    <row r="937" spans="1:17" x14ac:dyDescent="0.35">
      <c r="A937" s="2" t="s">
        <v>2583</v>
      </c>
      <c r="B937" s="2" t="s">
        <v>970</v>
      </c>
      <c r="C937" s="2" t="s">
        <v>11</v>
      </c>
      <c r="D937" s="2" t="s">
        <v>66</v>
      </c>
      <c r="E937" s="2" t="s">
        <v>31</v>
      </c>
      <c r="F937" s="2">
        <v>45</v>
      </c>
      <c r="G937" s="2" t="s">
        <v>78</v>
      </c>
      <c r="H937" s="3" t="s">
        <v>2584</v>
      </c>
      <c r="I937" s="2"/>
      <c r="J937" s="2" t="s">
        <v>8</v>
      </c>
      <c r="K937" s="2">
        <v>121049</v>
      </c>
      <c r="L937" s="2">
        <v>2</v>
      </c>
      <c r="M937" s="2">
        <v>1</v>
      </c>
      <c r="N937" s="2" t="s">
        <v>8</v>
      </c>
      <c r="O937" s="2">
        <v>29</v>
      </c>
      <c r="P937" s="2">
        <f ca="1">ROUND((IF(I937="",TODAY(),I937)-H937)/365,1)</f>
        <v>9</v>
      </c>
      <c r="Q937" s="2" t="str">
        <f t="shared" si="14"/>
        <v>Medium</v>
      </c>
    </row>
    <row r="938" spans="1:17" x14ac:dyDescent="0.35">
      <c r="A938" s="2" t="s">
        <v>2585</v>
      </c>
      <c r="B938" s="2" t="s">
        <v>2586</v>
      </c>
      <c r="C938" s="2" t="s">
        <v>9</v>
      </c>
      <c r="D938" s="2" t="s">
        <v>77</v>
      </c>
      <c r="E938" s="2" t="s">
        <v>31</v>
      </c>
      <c r="F938" s="2">
        <v>36</v>
      </c>
      <c r="G938" s="2" t="s">
        <v>56</v>
      </c>
      <c r="H938" s="3" t="s">
        <v>2587</v>
      </c>
      <c r="I938" s="3" t="s">
        <v>2588</v>
      </c>
      <c r="J938" s="2" t="s">
        <v>6</v>
      </c>
      <c r="K938" s="2">
        <v>146335</v>
      </c>
      <c r="L938" s="2">
        <v>5</v>
      </c>
      <c r="M938" s="2">
        <v>2</v>
      </c>
      <c r="N938" s="2" t="s">
        <v>8</v>
      </c>
      <c r="O938" s="2">
        <v>9</v>
      </c>
      <c r="P938" s="2">
        <f ca="1">ROUND((IF(I938="",TODAY(),I938)-H938)/365,1)</f>
        <v>4.7</v>
      </c>
      <c r="Q938" s="2" t="str">
        <f t="shared" si="14"/>
        <v>N/A</v>
      </c>
    </row>
    <row r="939" spans="1:17" x14ac:dyDescent="0.35">
      <c r="A939" s="2" t="s">
        <v>2589</v>
      </c>
      <c r="B939" s="2" t="s">
        <v>928</v>
      </c>
      <c r="C939" s="2" t="s">
        <v>12</v>
      </c>
      <c r="D939" s="2" t="s">
        <v>55</v>
      </c>
      <c r="E939" s="2" t="s">
        <v>31</v>
      </c>
      <c r="F939" s="2">
        <v>40</v>
      </c>
      <c r="G939" s="2" t="s">
        <v>32</v>
      </c>
      <c r="H939" s="3" t="s">
        <v>2590</v>
      </c>
      <c r="I939" s="2"/>
      <c r="J939" s="2" t="s">
        <v>8</v>
      </c>
      <c r="K939" s="2">
        <v>91194</v>
      </c>
      <c r="L939" s="2">
        <v>4</v>
      </c>
      <c r="M939" s="2">
        <v>1</v>
      </c>
      <c r="N939" s="2" t="s">
        <v>6</v>
      </c>
      <c r="O939" s="2">
        <v>27</v>
      </c>
      <c r="P939" s="2">
        <f ca="1">ROUND((IF(I939="",TODAY(),I939)-H939)/365,1)</f>
        <v>7.8</v>
      </c>
      <c r="Q939" s="2" t="str">
        <f t="shared" si="14"/>
        <v>High</v>
      </c>
    </row>
    <row r="940" spans="1:17" x14ac:dyDescent="0.35">
      <c r="A940" s="2" t="s">
        <v>2591</v>
      </c>
      <c r="B940" s="2" t="s">
        <v>2592</v>
      </c>
      <c r="C940" s="2" t="s">
        <v>12</v>
      </c>
      <c r="D940" s="2" t="s">
        <v>30</v>
      </c>
      <c r="E940" s="2" t="s">
        <v>31</v>
      </c>
      <c r="F940" s="2">
        <v>32</v>
      </c>
      <c r="G940" s="2" t="s">
        <v>32</v>
      </c>
      <c r="H940" s="3" t="s">
        <v>2593</v>
      </c>
      <c r="I940" s="2"/>
      <c r="J940" s="2" t="s">
        <v>8</v>
      </c>
      <c r="K940" s="2">
        <v>41567</v>
      </c>
      <c r="L940" s="2">
        <v>4</v>
      </c>
      <c r="M940" s="2">
        <v>5</v>
      </c>
      <c r="N940" s="2" t="s">
        <v>8</v>
      </c>
      <c r="O940" s="2">
        <v>7</v>
      </c>
      <c r="P940" s="2">
        <f ca="1">ROUND((IF(I940="",TODAY(),I940)-H940)/365,1)</f>
        <v>10.3</v>
      </c>
      <c r="Q940" s="2" t="str">
        <f t="shared" si="14"/>
        <v>Low</v>
      </c>
    </row>
    <row r="941" spans="1:17" x14ac:dyDescent="0.35">
      <c r="A941" s="2" t="s">
        <v>2594</v>
      </c>
      <c r="B941" s="2" t="s">
        <v>2595</v>
      </c>
      <c r="C941" s="2" t="s">
        <v>5</v>
      </c>
      <c r="D941" s="2" t="s">
        <v>102</v>
      </c>
      <c r="E941" s="2" t="s">
        <v>31</v>
      </c>
      <c r="F941" s="2">
        <v>54</v>
      </c>
      <c r="G941" s="2" t="s">
        <v>78</v>
      </c>
      <c r="H941" s="3" t="s">
        <v>2596</v>
      </c>
      <c r="I941" s="2"/>
      <c r="J941" s="2" t="s">
        <v>8</v>
      </c>
      <c r="K941" s="2">
        <v>41705</v>
      </c>
      <c r="L941" s="2">
        <v>4</v>
      </c>
      <c r="M941" s="2">
        <v>4</v>
      </c>
      <c r="N941" s="2" t="s">
        <v>8</v>
      </c>
      <c r="O941" s="2">
        <v>23</v>
      </c>
      <c r="P941" s="2">
        <f ca="1">ROUND((IF(I941="",TODAY(),I941)-H941)/365,1)</f>
        <v>1.9</v>
      </c>
      <c r="Q941" s="2" t="str">
        <f t="shared" si="14"/>
        <v>Low</v>
      </c>
    </row>
    <row r="942" spans="1:17" x14ac:dyDescent="0.35">
      <c r="A942" s="2" t="s">
        <v>2597</v>
      </c>
      <c r="B942" s="2" t="s">
        <v>2598</v>
      </c>
      <c r="C942" s="2" t="s">
        <v>7</v>
      </c>
      <c r="D942" s="2" t="s">
        <v>37</v>
      </c>
      <c r="E942" s="2" t="s">
        <v>46</v>
      </c>
      <c r="F942" s="2">
        <v>43</v>
      </c>
      <c r="G942" s="2" t="s">
        <v>78</v>
      </c>
      <c r="H942" s="3" t="s">
        <v>2599</v>
      </c>
      <c r="I942" s="2"/>
      <c r="J942" s="2" t="s">
        <v>8</v>
      </c>
      <c r="K942" s="2">
        <v>121829</v>
      </c>
      <c r="L942" s="2">
        <v>1</v>
      </c>
      <c r="M942" s="2">
        <v>1</v>
      </c>
      <c r="N942" s="2" t="s">
        <v>8</v>
      </c>
      <c r="O942" s="2">
        <v>5</v>
      </c>
      <c r="P942" s="2">
        <f ca="1">ROUND((IF(I942="",TODAY(),I942)-H942)/365,1)</f>
        <v>5</v>
      </c>
      <c r="Q942" s="2" t="str">
        <f t="shared" si="14"/>
        <v>Medium</v>
      </c>
    </row>
    <row r="943" spans="1:17" x14ac:dyDescent="0.35">
      <c r="A943" s="2" t="s">
        <v>2600</v>
      </c>
      <c r="B943" s="2" t="s">
        <v>2601</v>
      </c>
      <c r="C943" s="2" t="s">
        <v>10</v>
      </c>
      <c r="D943" s="2" t="s">
        <v>70</v>
      </c>
      <c r="E943" s="2" t="s">
        <v>46</v>
      </c>
      <c r="F943" s="2">
        <v>52</v>
      </c>
      <c r="G943" s="2" t="s">
        <v>32</v>
      </c>
      <c r="H943" s="3" t="s">
        <v>2602</v>
      </c>
      <c r="I943" s="2"/>
      <c r="J943" s="2" t="s">
        <v>8</v>
      </c>
      <c r="K943" s="2">
        <v>35982</v>
      </c>
      <c r="L943" s="2">
        <v>5</v>
      </c>
      <c r="M943" s="2">
        <v>2</v>
      </c>
      <c r="N943" s="2" t="s">
        <v>6</v>
      </c>
      <c r="O943" s="2">
        <v>33</v>
      </c>
      <c r="P943" s="2">
        <f ca="1">ROUND((IF(I943="",TODAY(),I943)-H943)/365,1)</f>
        <v>3.8</v>
      </c>
      <c r="Q943" s="2" t="str">
        <f t="shared" si="14"/>
        <v>High</v>
      </c>
    </row>
    <row r="944" spans="1:17" x14ac:dyDescent="0.35">
      <c r="A944" s="2" t="s">
        <v>2603</v>
      </c>
      <c r="B944" s="2" t="s">
        <v>1183</v>
      </c>
      <c r="C944" s="2" t="s">
        <v>11</v>
      </c>
      <c r="D944" s="2" t="s">
        <v>98</v>
      </c>
      <c r="E944" s="2" t="s">
        <v>46</v>
      </c>
      <c r="F944" s="2">
        <v>42</v>
      </c>
      <c r="G944" s="2" t="s">
        <v>78</v>
      </c>
      <c r="H944" s="3" t="s">
        <v>2604</v>
      </c>
      <c r="I944" s="2"/>
      <c r="J944" s="2" t="s">
        <v>8</v>
      </c>
      <c r="K944" s="2">
        <v>55443</v>
      </c>
      <c r="L944" s="2">
        <v>3</v>
      </c>
      <c r="M944" s="2">
        <v>5</v>
      </c>
      <c r="N944" s="2" t="s">
        <v>6</v>
      </c>
      <c r="O944" s="2">
        <v>7</v>
      </c>
      <c r="P944" s="2">
        <f ca="1">ROUND((IF(I944="",TODAY(),I944)-H944)/365,1)</f>
        <v>6.7</v>
      </c>
      <c r="Q944" s="2" t="str">
        <f t="shared" si="14"/>
        <v>Medium</v>
      </c>
    </row>
    <row r="945" spans="1:17" x14ac:dyDescent="0.35">
      <c r="A945" s="2" t="s">
        <v>2605</v>
      </c>
      <c r="B945" s="2" t="s">
        <v>1812</v>
      </c>
      <c r="C945" s="2" t="s">
        <v>5</v>
      </c>
      <c r="D945" s="2" t="s">
        <v>102</v>
      </c>
      <c r="E945" s="2" t="s">
        <v>46</v>
      </c>
      <c r="F945" s="2">
        <v>46</v>
      </c>
      <c r="G945" s="2" t="s">
        <v>56</v>
      </c>
      <c r="H945" s="3" t="s">
        <v>2401</v>
      </c>
      <c r="I945" s="3" t="s">
        <v>2606</v>
      </c>
      <c r="J945" s="2" t="s">
        <v>6</v>
      </c>
      <c r="K945" s="2">
        <v>81431</v>
      </c>
      <c r="L945" s="2">
        <v>1</v>
      </c>
      <c r="M945" s="2">
        <v>2</v>
      </c>
      <c r="N945" s="2" t="s">
        <v>8</v>
      </c>
      <c r="O945" s="2">
        <v>14</v>
      </c>
      <c r="P945" s="2">
        <f ca="1">ROUND((IF(I945="",TODAY(),I945)-H945)/365,1)</f>
        <v>7.1</v>
      </c>
      <c r="Q945" s="2" t="str">
        <f t="shared" si="14"/>
        <v>N/A</v>
      </c>
    </row>
    <row r="946" spans="1:17" x14ac:dyDescent="0.35">
      <c r="A946" s="2" t="s">
        <v>2607</v>
      </c>
      <c r="B946" s="2" t="s">
        <v>512</v>
      </c>
      <c r="C946" s="2" t="s">
        <v>9</v>
      </c>
      <c r="D946" s="2" t="s">
        <v>51</v>
      </c>
      <c r="E946" s="2" t="s">
        <v>46</v>
      </c>
      <c r="F946" s="2">
        <v>29</v>
      </c>
      <c r="G946" s="2" t="s">
        <v>78</v>
      </c>
      <c r="H946" s="3" t="s">
        <v>2608</v>
      </c>
      <c r="I946" s="2"/>
      <c r="J946" s="2" t="s">
        <v>8</v>
      </c>
      <c r="K946" s="2">
        <v>62811</v>
      </c>
      <c r="L946" s="2">
        <v>2</v>
      </c>
      <c r="M946" s="2">
        <v>4</v>
      </c>
      <c r="N946" s="2" t="s">
        <v>6</v>
      </c>
      <c r="O946" s="2">
        <v>11</v>
      </c>
      <c r="P946" s="2">
        <f ca="1">ROUND((IF(I946="",TODAY(),I946)-H946)/365,1)</f>
        <v>8.4</v>
      </c>
      <c r="Q946" s="2" t="str">
        <f t="shared" si="14"/>
        <v>Medium</v>
      </c>
    </row>
    <row r="947" spans="1:17" x14ac:dyDescent="0.35">
      <c r="A947" s="2" t="s">
        <v>2609</v>
      </c>
      <c r="B947" s="2" t="s">
        <v>584</v>
      </c>
      <c r="C947" s="2" t="s">
        <v>5</v>
      </c>
      <c r="D947" s="2" t="s">
        <v>94</v>
      </c>
      <c r="E947" s="2" t="s">
        <v>46</v>
      </c>
      <c r="F947" s="2">
        <v>35</v>
      </c>
      <c r="G947" s="2" t="s">
        <v>32</v>
      </c>
      <c r="H947" s="3" t="s">
        <v>2610</v>
      </c>
      <c r="I947" s="2"/>
      <c r="J947" s="2" t="s">
        <v>8</v>
      </c>
      <c r="K947" s="2">
        <v>143297</v>
      </c>
      <c r="L947" s="2">
        <v>1</v>
      </c>
      <c r="M947" s="2">
        <v>2</v>
      </c>
      <c r="N947" s="2" t="s">
        <v>8</v>
      </c>
      <c r="O947" s="2">
        <v>39</v>
      </c>
      <c r="P947" s="2">
        <f ca="1">ROUND((IF(I947="",TODAY(),I947)-H947)/365,1)</f>
        <v>5.4</v>
      </c>
      <c r="Q947" s="2" t="str">
        <f t="shared" si="14"/>
        <v>Medium</v>
      </c>
    </row>
    <row r="948" spans="1:17" x14ac:dyDescent="0.35">
      <c r="A948" s="2" t="s">
        <v>2611</v>
      </c>
      <c r="B948" s="2" t="s">
        <v>1254</v>
      </c>
      <c r="C948" s="2" t="s">
        <v>11</v>
      </c>
      <c r="D948" s="2" t="s">
        <v>98</v>
      </c>
      <c r="E948" s="2" t="s">
        <v>31</v>
      </c>
      <c r="F948" s="2">
        <v>23</v>
      </c>
      <c r="G948" s="2" t="s">
        <v>32</v>
      </c>
      <c r="H948" s="3" t="s">
        <v>2612</v>
      </c>
      <c r="I948" s="2"/>
      <c r="J948" s="2" t="s">
        <v>8</v>
      </c>
      <c r="K948" s="2">
        <v>93274</v>
      </c>
      <c r="L948" s="2">
        <v>4</v>
      </c>
      <c r="M948" s="2">
        <v>5</v>
      </c>
      <c r="N948" s="2" t="s">
        <v>6</v>
      </c>
      <c r="O948" s="2">
        <v>29</v>
      </c>
      <c r="P948" s="2">
        <f ca="1">ROUND((IF(I948="",TODAY(),I948)-H948)/365,1)</f>
        <v>7.5</v>
      </c>
      <c r="Q948" s="2" t="str">
        <f t="shared" si="14"/>
        <v>Medium</v>
      </c>
    </row>
    <row r="949" spans="1:17" x14ac:dyDescent="0.35">
      <c r="A949" s="2" t="s">
        <v>2613</v>
      </c>
      <c r="B949" s="2" t="s">
        <v>2614</v>
      </c>
      <c r="C949" s="2" t="s">
        <v>9</v>
      </c>
      <c r="D949" s="2" t="s">
        <v>51</v>
      </c>
      <c r="E949" s="2" t="s">
        <v>31</v>
      </c>
      <c r="F949" s="2">
        <v>53</v>
      </c>
      <c r="G949" s="2" t="s">
        <v>78</v>
      </c>
      <c r="H949" s="3" t="s">
        <v>2615</v>
      </c>
      <c r="I949" s="2"/>
      <c r="J949" s="2" t="s">
        <v>8</v>
      </c>
      <c r="K949" s="2">
        <v>40264</v>
      </c>
      <c r="L949" s="2">
        <v>3</v>
      </c>
      <c r="M949" s="2">
        <v>2</v>
      </c>
      <c r="N949" s="2" t="s">
        <v>6</v>
      </c>
      <c r="O949" s="2">
        <v>43</v>
      </c>
      <c r="P949" s="2">
        <f ca="1">ROUND((IF(I949="",TODAY(),I949)-H949)/365,1)</f>
        <v>8.6999999999999993</v>
      </c>
      <c r="Q949" s="2" t="str">
        <f t="shared" si="14"/>
        <v>High</v>
      </c>
    </row>
    <row r="950" spans="1:17" x14ac:dyDescent="0.35">
      <c r="A950" s="2" t="s">
        <v>2616</v>
      </c>
      <c r="B950" s="2" t="s">
        <v>1702</v>
      </c>
      <c r="C950" s="2" t="s">
        <v>12</v>
      </c>
      <c r="D950" s="2" t="s">
        <v>30</v>
      </c>
      <c r="E950" s="2" t="s">
        <v>31</v>
      </c>
      <c r="F950" s="2">
        <v>54</v>
      </c>
      <c r="G950" s="2" t="s">
        <v>32</v>
      </c>
      <c r="H950" s="3" t="s">
        <v>2617</v>
      </c>
      <c r="I950" s="2"/>
      <c r="J950" s="2" t="s">
        <v>8</v>
      </c>
      <c r="K950" s="2">
        <v>66262</v>
      </c>
      <c r="L950" s="2">
        <v>1</v>
      </c>
      <c r="M950" s="2">
        <v>5</v>
      </c>
      <c r="N950" s="2" t="s">
        <v>6</v>
      </c>
      <c r="O950" s="2">
        <v>45</v>
      </c>
      <c r="P950" s="2">
        <f ca="1">ROUND((IF(I950="",TODAY(),I950)-H950)/365,1)</f>
        <v>7.8</v>
      </c>
      <c r="Q950" s="2" t="str">
        <f t="shared" si="14"/>
        <v>Medium</v>
      </c>
    </row>
    <row r="951" spans="1:17" x14ac:dyDescent="0.35">
      <c r="A951" s="2" t="s">
        <v>2618</v>
      </c>
      <c r="B951" s="2" t="s">
        <v>2619</v>
      </c>
      <c r="C951" s="2" t="s">
        <v>12</v>
      </c>
      <c r="D951" s="2" t="s">
        <v>55</v>
      </c>
      <c r="E951" s="2" t="s">
        <v>46</v>
      </c>
      <c r="F951" s="2">
        <v>24</v>
      </c>
      <c r="G951" s="2" t="s">
        <v>32</v>
      </c>
      <c r="H951" s="3" t="s">
        <v>2620</v>
      </c>
      <c r="I951" s="2"/>
      <c r="J951" s="2" t="s">
        <v>8</v>
      </c>
      <c r="K951" s="2">
        <v>74310</v>
      </c>
      <c r="L951" s="2">
        <v>2</v>
      </c>
      <c r="M951" s="2">
        <v>2</v>
      </c>
      <c r="N951" s="2" t="s">
        <v>8</v>
      </c>
      <c r="O951" s="2">
        <v>38</v>
      </c>
      <c r="P951" s="2">
        <f ca="1">ROUND((IF(I951="",TODAY(),I951)-H951)/365,1)</f>
        <v>4.5</v>
      </c>
      <c r="Q951" s="2" t="str">
        <f t="shared" si="14"/>
        <v>Medium</v>
      </c>
    </row>
    <row r="952" spans="1:17" x14ac:dyDescent="0.35">
      <c r="A952" s="2" t="s">
        <v>2621</v>
      </c>
      <c r="B952" s="2" t="s">
        <v>2622</v>
      </c>
      <c r="C952" s="2" t="s">
        <v>9</v>
      </c>
      <c r="D952" s="2" t="s">
        <v>41</v>
      </c>
      <c r="E952" s="2" t="s">
        <v>31</v>
      </c>
      <c r="F952" s="2">
        <v>53</v>
      </c>
      <c r="G952" s="2" t="s">
        <v>78</v>
      </c>
      <c r="H952" s="3" t="s">
        <v>2623</v>
      </c>
      <c r="I952" s="3" t="s">
        <v>2624</v>
      </c>
      <c r="J952" s="2" t="s">
        <v>6</v>
      </c>
      <c r="K952" s="2">
        <v>25419</v>
      </c>
      <c r="L952" s="2">
        <v>5</v>
      </c>
      <c r="M952" s="2">
        <v>1</v>
      </c>
      <c r="N952" s="2" t="s">
        <v>6</v>
      </c>
      <c r="O952" s="2">
        <v>14</v>
      </c>
      <c r="P952" s="2">
        <f ca="1">ROUND((IF(I952="",TODAY(),I952)-H952)/365,1)</f>
        <v>6.4</v>
      </c>
      <c r="Q952" s="2" t="str">
        <f t="shared" si="14"/>
        <v>N/A</v>
      </c>
    </row>
    <row r="953" spans="1:17" x14ac:dyDescent="0.35">
      <c r="A953" s="2" t="s">
        <v>2625</v>
      </c>
      <c r="B953" s="2" t="s">
        <v>2048</v>
      </c>
      <c r="C953" s="2" t="s">
        <v>11</v>
      </c>
      <c r="D953" s="2" t="s">
        <v>45</v>
      </c>
      <c r="E953" s="2" t="s">
        <v>31</v>
      </c>
      <c r="F953" s="2">
        <v>38</v>
      </c>
      <c r="G953" s="2" t="s">
        <v>78</v>
      </c>
      <c r="H953" s="3" t="s">
        <v>2626</v>
      </c>
      <c r="I953" s="2"/>
      <c r="J953" s="2" t="s">
        <v>8</v>
      </c>
      <c r="K953" s="2">
        <v>70705</v>
      </c>
      <c r="L953" s="2">
        <v>2</v>
      </c>
      <c r="M953" s="2">
        <v>5</v>
      </c>
      <c r="N953" s="2" t="s">
        <v>8</v>
      </c>
      <c r="O953" s="2">
        <v>41</v>
      </c>
      <c r="P953" s="2">
        <f ca="1">ROUND((IF(I953="",TODAY(),I953)-H953)/365,1)</f>
        <v>4.7</v>
      </c>
      <c r="Q953" s="2" t="str">
        <f t="shared" si="14"/>
        <v>Low</v>
      </c>
    </row>
    <row r="954" spans="1:17" x14ac:dyDescent="0.35">
      <c r="A954" s="2" t="s">
        <v>2627</v>
      </c>
      <c r="B954" s="2" t="s">
        <v>452</v>
      </c>
      <c r="C954" s="2" t="s">
        <v>7</v>
      </c>
      <c r="D954" s="2" t="s">
        <v>125</v>
      </c>
      <c r="E954" s="2" t="s">
        <v>31</v>
      </c>
      <c r="F954" s="2">
        <v>53</v>
      </c>
      <c r="G954" s="2" t="s">
        <v>78</v>
      </c>
      <c r="H954" s="3" t="s">
        <v>565</v>
      </c>
      <c r="I954" s="3" t="s">
        <v>2628</v>
      </c>
      <c r="J954" s="2" t="s">
        <v>6</v>
      </c>
      <c r="K954" s="2">
        <v>88040</v>
      </c>
      <c r="L954" s="2">
        <v>3</v>
      </c>
      <c r="M954" s="2">
        <v>5</v>
      </c>
      <c r="N954" s="2" t="s">
        <v>8</v>
      </c>
      <c r="O954" s="2">
        <v>35</v>
      </c>
      <c r="P954" s="2">
        <f ca="1">ROUND((IF(I954="",TODAY(),I954)-H954)/365,1)</f>
        <v>0.5</v>
      </c>
      <c r="Q954" s="2" t="str">
        <f t="shared" si="14"/>
        <v>N/A</v>
      </c>
    </row>
    <row r="955" spans="1:17" x14ac:dyDescent="0.35">
      <c r="A955" s="2" t="s">
        <v>2629</v>
      </c>
      <c r="B955" s="2" t="s">
        <v>223</v>
      </c>
      <c r="C955" s="2" t="s">
        <v>9</v>
      </c>
      <c r="D955" s="2" t="s">
        <v>41</v>
      </c>
      <c r="E955" s="2" t="s">
        <v>46</v>
      </c>
      <c r="F955" s="2">
        <v>49</v>
      </c>
      <c r="G955" s="2" t="s">
        <v>78</v>
      </c>
      <c r="H955" s="3" t="s">
        <v>2630</v>
      </c>
      <c r="I955" s="2"/>
      <c r="J955" s="2" t="s">
        <v>8</v>
      </c>
      <c r="K955" s="2">
        <v>116353</v>
      </c>
      <c r="L955" s="2">
        <v>1</v>
      </c>
      <c r="M955" s="2">
        <v>3</v>
      </c>
      <c r="N955" s="2" t="s">
        <v>6</v>
      </c>
      <c r="O955" s="2">
        <v>23</v>
      </c>
      <c r="P955" s="2">
        <f ca="1">ROUND((IF(I955="",TODAY(),I955)-H955)/365,1)</f>
        <v>10.3</v>
      </c>
      <c r="Q955" s="2" t="str">
        <f t="shared" si="14"/>
        <v>Medium</v>
      </c>
    </row>
    <row r="956" spans="1:17" x14ac:dyDescent="0.35">
      <c r="A956" s="2" t="s">
        <v>2631</v>
      </c>
      <c r="B956" s="2" t="s">
        <v>2632</v>
      </c>
      <c r="C956" s="2" t="s">
        <v>10</v>
      </c>
      <c r="D956" s="2" t="s">
        <v>258</v>
      </c>
      <c r="E956" s="2" t="s">
        <v>46</v>
      </c>
      <c r="F956" s="2">
        <v>40</v>
      </c>
      <c r="G956" s="2" t="s">
        <v>78</v>
      </c>
      <c r="H956" s="3" t="s">
        <v>2633</v>
      </c>
      <c r="I956" s="2"/>
      <c r="J956" s="2" t="s">
        <v>8</v>
      </c>
      <c r="K956" s="2">
        <v>126161</v>
      </c>
      <c r="L956" s="2">
        <v>1</v>
      </c>
      <c r="M956" s="2">
        <v>4</v>
      </c>
      <c r="N956" s="2" t="s">
        <v>8</v>
      </c>
      <c r="O956" s="2">
        <v>36</v>
      </c>
      <c r="P956" s="2">
        <f ca="1">ROUND((IF(I956="",TODAY(),I956)-H956)/365,1)</f>
        <v>8.6</v>
      </c>
      <c r="Q956" s="2" t="str">
        <f t="shared" si="14"/>
        <v>Low</v>
      </c>
    </row>
    <row r="957" spans="1:17" x14ac:dyDescent="0.35">
      <c r="A957" s="2" t="s">
        <v>2634</v>
      </c>
      <c r="B957" s="2" t="s">
        <v>2635</v>
      </c>
      <c r="C957" s="2" t="s">
        <v>9</v>
      </c>
      <c r="D957" s="2" t="s">
        <v>41</v>
      </c>
      <c r="E957" s="2" t="s">
        <v>46</v>
      </c>
      <c r="F957" s="2">
        <v>47</v>
      </c>
      <c r="G957" s="2" t="s">
        <v>56</v>
      </c>
      <c r="H957" s="3" t="s">
        <v>2169</v>
      </c>
      <c r="I957" s="2"/>
      <c r="J957" s="2" t="s">
        <v>8</v>
      </c>
      <c r="K957" s="2">
        <v>69543</v>
      </c>
      <c r="L957" s="2">
        <v>4</v>
      </c>
      <c r="M957" s="2">
        <v>3</v>
      </c>
      <c r="N957" s="2" t="s">
        <v>8</v>
      </c>
      <c r="O957" s="2">
        <v>15</v>
      </c>
      <c r="P957" s="2">
        <f ca="1">ROUND((IF(I957="",TODAY(),I957)-H957)/365,1)</f>
        <v>8.6999999999999993</v>
      </c>
      <c r="Q957" s="2" t="str">
        <f t="shared" si="14"/>
        <v>Low</v>
      </c>
    </row>
    <row r="958" spans="1:17" x14ac:dyDescent="0.35">
      <c r="A958" s="2" t="s">
        <v>2636</v>
      </c>
      <c r="B958" s="2" t="s">
        <v>360</v>
      </c>
      <c r="C958" s="2" t="s">
        <v>9</v>
      </c>
      <c r="D958" s="2" t="s">
        <v>41</v>
      </c>
      <c r="E958" s="2" t="s">
        <v>46</v>
      </c>
      <c r="F958" s="2">
        <v>32</v>
      </c>
      <c r="G958" s="2" t="s">
        <v>32</v>
      </c>
      <c r="H958" s="3" t="s">
        <v>2637</v>
      </c>
      <c r="I958" s="2"/>
      <c r="J958" s="2" t="s">
        <v>8</v>
      </c>
      <c r="K958" s="2">
        <v>68212</v>
      </c>
      <c r="L958" s="2">
        <v>5</v>
      </c>
      <c r="M958" s="2">
        <v>1</v>
      </c>
      <c r="N958" s="2" t="s">
        <v>6</v>
      </c>
      <c r="O958" s="2">
        <v>40</v>
      </c>
      <c r="P958" s="2">
        <f ca="1">ROUND((IF(I958="",TODAY(),I958)-H958)/365,1)</f>
        <v>5.6</v>
      </c>
      <c r="Q958" s="2" t="str">
        <f t="shared" si="14"/>
        <v>High</v>
      </c>
    </row>
    <row r="959" spans="1:17" x14ac:dyDescent="0.35">
      <c r="A959" s="2" t="s">
        <v>2638</v>
      </c>
      <c r="B959" s="2" t="s">
        <v>793</v>
      </c>
      <c r="C959" s="2" t="s">
        <v>5</v>
      </c>
      <c r="D959" s="2" t="s">
        <v>102</v>
      </c>
      <c r="E959" s="2" t="s">
        <v>31</v>
      </c>
      <c r="F959" s="2">
        <v>43</v>
      </c>
      <c r="G959" s="2" t="s">
        <v>56</v>
      </c>
      <c r="H959" s="3" t="s">
        <v>2639</v>
      </c>
      <c r="I959" s="2"/>
      <c r="J959" s="2" t="s">
        <v>8</v>
      </c>
      <c r="K959" s="2">
        <v>31450</v>
      </c>
      <c r="L959" s="2">
        <v>1</v>
      </c>
      <c r="M959" s="2">
        <v>5</v>
      </c>
      <c r="N959" s="2" t="s">
        <v>8</v>
      </c>
      <c r="O959" s="2">
        <v>42</v>
      </c>
      <c r="P959" s="2">
        <f ca="1">ROUND((IF(I959="",TODAY(),I959)-H959)/365,1)</f>
        <v>1.4</v>
      </c>
      <c r="Q959" s="2" t="str">
        <f t="shared" si="14"/>
        <v>Low</v>
      </c>
    </row>
    <row r="960" spans="1:17" x14ac:dyDescent="0.35">
      <c r="A960" s="2" t="s">
        <v>2640</v>
      </c>
      <c r="B960" s="2" t="s">
        <v>437</v>
      </c>
      <c r="C960" s="2" t="s">
        <v>11</v>
      </c>
      <c r="D960" s="2" t="s">
        <v>45</v>
      </c>
      <c r="E960" s="2" t="s">
        <v>31</v>
      </c>
      <c r="F960" s="2">
        <v>36</v>
      </c>
      <c r="G960" s="2" t="s">
        <v>56</v>
      </c>
      <c r="H960" s="3" t="s">
        <v>1765</v>
      </c>
      <c r="I960" s="2"/>
      <c r="J960" s="2" t="s">
        <v>8</v>
      </c>
      <c r="K960" s="2">
        <v>53261</v>
      </c>
      <c r="L960" s="2">
        <v>3</v>
      </c>
      <c r="M960" s="2">
        <v>3</v>
      </c>
      <c r="N960" s="2" t="s">
        <v>8</v>
      </c>
      <c r="O960" s="2">
        <v>27</v>
      </c>
      <c r="P960" s="2">
        <f ca="1">ROUND((IF(I960="",TODAY(),I960)-H960)/365,1)</f>
        <v>8.4</v>
      </c>
      <c r="Q960" s="2" t="str">
        <f t="shared" si="14"/>
        <v>Low</v>
      </c>
    </row>
    <row r="961" spans="1:17" x14ac:dyDescent="0.35">
      <c r="A961" s="2" t="s">
        <v>2641</v>
      </c>
      <c r="B961" s="2" t="s">
        <v>1294</v>
      </c>
      <c r="C961" s="2" t="s">
        <v>5</v>
      </c>
      <c r="D961" s="2" t="s">
        <v>94</v>
      </c>
      <c r="E961" s="2" t="s">
        <v>31</v>
      </c>
      <c r="F961" s="2">
        <v>54</v>
      </c>
      <c r="G961" s="2" t="s">
        <v>32</v>
      </c>
      <c r="H961" s="3" t="s">
        <v>1199</v>
      </c>
      <c r="I961" s="3" t="s">
        <v>2642</v>
      </c>
      <c r="J961" s="2" t="s">
        <v>6</v>
      </c>
      <c r="K961" s="2">
        <v>64513</v>
      </c>
      <c r="L961" s="2">
        <v>2</v>
      </c>
      <c r="M961" s="2">
        <v>1</v>
      </c>
      <c r="N961" s="2" t="s">
        <v>8</v>
      </c>
      <c r="O961" s="2">
        <v>19</v>
      </c>
      <c r="P961" s="2">
        <f ca="1">ROUND((IF(I961="",TODAY(),I961)-H961)/365,1)</f>
        <v>2.9</v>
      </c>
      <c r="Q961" s="2" t="str">
        <f t="shared" si="14"/>
        <v>N/A</v>
      </c>
    </row>
    <row r="962" spans="1:17" x14ac:dyDescent="0.35">
      <c r="A962" s="2" t="s">
        <v>2643</v>
      </c>
      <c r="B962" s="2" t="s">
        <v>69</v>
      </c>
      <c r="C962" s="2" t="s">
        <v>5</v>
      </c>
      <c r="D962" s="2" t="s">
        <v>207</v>
      </c>
      <c r="E962" s="2" t="s">
        <v>31</v>
      </c>
      <c r="F962" s="2">
        <v>30</v>
      </c>
      <c r="G962" s="2" t="s">
        <v>56</v>
      </c>
      <c r="H962" s="3" t="s">
        <v>2644</v>
      </c>
      <c r="I962" s="2"/>
      <c r="J962" s="2" t="s">
        <v>8</v>
      </c>
      <c r="K962" s="2">
        <v>34684</v>
      </c>
      <c r="L962" s="2">
        <v>1</v>
      </c>
      <c r="M962" s="2">
        <v>3</v>
      </c>
      <c r="N962" s="2" t="s">
        <v>8</v>
      </c>
      <c r="O962" s="2">
        <v>5</v>
      </c>
      <c r="P962" s="2">
        <f ca="1">ROUND((IF(I962="",TODAY(),I962)-H962)/365,1)</f>
        <v>2.4</v>
      </c>
      <c r="Q962" s="2" t="str">
        <f t="shared" ref="Q962:Q1025" si="15">IF(J962="No",IF(AND(M962&lt;=2,N962="Yes"),"High",IF(OR(M962&lt;=2,N962="Yes"),"Medium","Low")),"N/A")</f>
        <v>Low</v>
      </c>
    </row>
    <row r="963" spans="1:17" x14ac:dyDescent="0.35">
      <c r="A963" s="2" t="s">
        <v>2645</v>
      </c>
      <c r="B963" s="2" t="s">
        <v>2135</v>
      </c>
      <c r="C963" s="2" t="s">
        <v>12</v>
      </c>
      <c r="D963" s="2" t="s">
        <v>133</v>
      </c>
      <c r="E963" s="2" t="s">
        <v>31</v>
      </c>
      <c r="F963" s="2">
        <v>31</v>
      </c>
      <c r="G963" s="2" t="s">
        <v>78</v>
      </c>
      <c r="H963" s="3" t="s">
        <v>2646</v>
      </c>
      <c r="I963" s="2"/>
      <c r="J963" s="2" t="s">
        <v>8</v>
      </c>
      <c r="K963" s="2">
        <v>137630</v>
      </c>
      <c r="L963" s="2">
        <v>2</v>
      </c>
      <c r="M963" s="2">
        <v>4</v>
      </c>
      <c r="N963" s="2" t="s">
        <v>8</v>
      </c>
      <c r="O963" s="2">
        <v>39</v>
      </c>
      <c r="P963" s="2">
        <f ca="1">ROUND((IF(I963="",TODAY(),I963)-H963)/365,1)</f>
        <v>10.5</v>
      </c>
      <c r="Q963" s="2" t="str">
        <f t="shared" si="15"/>
        <v>Low</v>
      </c>
    </row>
    <row r="964" spans="1:17" x14ac:dyDescent="0.35">
      <c r="A964" s="2" t="s">
        <v>2647</v>
      </c>
      <c r="B964" s="2" t="s">
        <v>2376</v>
      </c>
      <c r="C964" s="2" t="s">
        <v>10</v>
      </c>
      <c r="D964" s="2" t="s">
        <v>70</v>
      </c>
      <c r="E964" s="2" t="s">
        <v>31</v>
      </c>
      <c r="F964" s="2">
        <v>51</v>
      </c>
      <c r="G964" s="2" t="s">
        <v>78</v>
      </c>
      <c r="H964" s="3" t="s">
        <v>501</v>
      </c>
      <c r="I964" s="3" t="s">
        <v>2648</v>
      </c>
      <c r="J964" s="2" t="s">
        <v>6</v>
      </c>
      <c r="K964" s="2">
        <v>63173</v>
      </c>
      <c r="L964" s="2">
        <v>4</v>
      </c>
      <c r="M964" s="2">
        <v>5</v>
      </c>
      <c r="N964" s="2" t="s">
        <v>6</v>
      </c>
      <c r="O964" s="2">
        <v>25</v>
      </c>
      <c r="P964" s="2">
        <f ca="1">ROUND((IF(I964="",TODAY(),I964)-H964)/365,1)</f>
        <v>4.7</v>
      </c>
      <c r="Q964" s="2" t="str">
        <f t="shared" si="15"/>
        <v>N/A</v>
      </c>
    </row>
    <row r="965" spans="1:17" x14ac:dyDescent="0.35">
      <c r="A965" s="2" t="s">
        <v>2649</v>
      </c>
      <c r="B965" s="2" t="s">
        <v>2650</v>
      </c>
      <c r="C965" s="2" t="s">
        <v>11</v>
      </c>
      <c r="D965" s="2" t="s">
        <v>66</v>
      </c>
      <c r="E965" s="2" t="s">
        <v>46</v>
      </c>
      <c r="F965" s="2">
        <v>54</v>
      </c>
      <c r="G965" s="2" t="s">
        <v>56</v>
      </c>
      <c r="H965" s="3" t="s">
        <v>2651</v>
      </c>
      <c r="I965" s="2"/>
      <c r="J965" s="2" t="s">
        <v>8</v>
      </c>
      <c r="K965" s="2">
        <v>124968</v>
      </c>
      <c r="L965" s="2">
        <v>4</v>
      </c>
      <c r="M965" s="2">
        <v>4</v>
      </c>
      <c r="N965" s="2" t="s">
        <v>8</v>
      </c>
      <c r="O965" s="2">
        <v>24</v>
      </c>
      <c r="P965" s="2">
        <f ca="1">ROUND((IF(I965="",TODAY(),I965)-H965)/365,1)</f>
        <v>8.9</v>
      </c>
      <c r="Q965" s="2" t="str">
        <f t="shared" si="15"/>
        <v>Low</v>
      </c>
    </row>
    <row r="966" spans="1:17" x14ac:dyDescent="0.35">
      <c r="A966" s="2" t="s">
        <v>2652</v>
      </c>
      <c r="B966" s="2" t="s">
        <v>649</v>
      </c>
      <c r="C966" s="2" t="s">
        <v>10</v>
      </c>
      <c r="D966" s="2" t="s">
        <v>111</v>
      </c>
      <c r="E966" s="2" t="s">
        <v>31</v>
      </c>
      <c r="F966" s="2">
        <v>50</v>
      </c>
      <c r="G966" s="2" t="s">
        <v>56</v>
      </c>
      <c r="H966" s="3" t="s">
        <v>2653</v>
      </c>
      <c r="I966" s="2"/>
      <c r="J966" s="2" t="s">
        <v>8</v>
      </c>
      <c r="K966" s="2">
        <v>43844</v>
      </c>
      <c r="L966" s="2">
        <v>3</v>
      </c>
      <c r="M966" s="2">
        <v>1</v>
      </c>
      <c r="N966" s="2" t="s">
        <v>8</v>
      </c>
      <c r="O966" s="2">
        <v>22</v>
      </c>
      <c r="P966" s="2">
        <f ca="1">ROUND((IF(I966="",TODAY(),I966)-H966)/365,1)</f>
        <v>7.5</v>
      </c>
      <c r="Q966" s="2" t="str">
        <f t="shared" si="15"/>
        <v>Medium</v>
      </c>
    </row>
    <row r="967" spans="1:17" x14ac:dyDescent="0.35">
      <c r="A967" s="2" t="s">
        <v>2654</v>
      </c>
      <c r="B967" s="2" t="s">
        <v>2655</v>
      </c>
      <c r="C967" s="2" t="s">
        <v>5</v>
      </c>
      <c r="D967" s="2" t="s">
        <v>102</v>
      </c>
      <c r="E967" s="2" t="s">
        <v>31</v>
      </c>
      <c r="F967" s="2">
        <v>37</v>
      </c>
      <c r="G967" s="2" t="s">
        <v>56</v>
      </c>
      <c r="H967" s="3" t="s">
        <v>2656</v>
      </c>
      <c r="I967" s="2"/>
      <c r="J967" s="2" t="s">
        <v>8</v>
      </c>
      <c r="K967" s="2">
        <v>119769</v>
      </c>
      <c r="L967" s="2">
        <v>4</v>
      </c>
      <c r="M967" s="2">
        <v>5</v>
      </c>
      <c r="N967" s="2" t="s">
        <v>6</v>
      </c>
      <c r="O967" s="2">
        <v>34</v>
      </c>
      <c r="P967" s="2">
        <f ca="1">ROUND((IF(I967="",TODAY(),I967)-H967)/365,1)</f>
        <v>10.7</v>
      </c>
      <c r="Q967" s="2" t="str">
        <f t="shared" si="15"/>
        <v>Medium</v>
      </c>
    </row>
    <row r="968" spans="1:17" x14ac:dyDescent="0.35">
      <c r="A968" s="2" t="s">
        <v>2657</v>
      </c>
      <c r="B968" s="2" t="s">
        <v>2601</v>
      </c>
      <c r="C968" s="2" t="s">
        <v>5</v>
      </c>
      <c r="D968" s="2" t="s">
        <v>207</v>
      </c>
      <c r="E968" s="2" t="s">
        <v>46</v>
      </c>
      <c r="F968" s="2">
        <v>43</v>
      </c>
      <c r="G968" s="2" t="s">
        <v>32</v>
      </c>
      <c r="H968" s="3" t="s">
        <v>2658</v>
      </c>
      <c r="I968" s="3" t="s">
        <v>318</v>
      </c>
      <c r="J968" s="2" t="s">
        <v>6</v>
      </c>
      <c r="K968" s="2">
        <v>78285</v>
      </c>
      <c r="L968" s="2">
        <v>5</v>
      </c>
      <c r="M968" s="2">
        <v>3</v>
      </c>
      <c r="N968" s="2" t="s">
        <v>6</v>
      </c>
      <c r="O968" s="2">
        <v>39</v>
      </c>
      <c r="P968" s="2">
        <f ca="1">ROUND((IF(I968="",TODAY(),I968)-H968)/365,1)</f>
        <v>0.8</v>
      </c>
      <c r="Q968" s="2" t="str">
        <f t="shared" si="15"/>
        <v>N/A</v>
      </c>
    </row>
    <row r="969" spans="1:17" x14ac:dyDescent="0.35">
      <c r="A969" s="2" t="s">
        <v>2659</v>
      </c>
      <c r="B969" s="2" t="s">
        <v>223</v>
      </c>
      <c r="C969" s="2" t="s">
        <v>11</v>
      </c>
      <c r="D969" s="2" t="s">
        <v>66</v>
      </c>
      <c r="E969" s="2" t="s">
        <v>46</v>
      </c>
      <c r="F969" s="2">
        <v>42</v>
      </c>
      <c r="G969" s="2" t="s">
        <v>32</v>
      </c>
      <c r="H969" s="3" t="s">
        <v>2660</v>
      </c>
      <c r="I969" s="2"/>
      <c r="J969" s="2" t="s">
        <v>8</v>
      </c>
      <c r="K969" s="2">
        <v>145747</v>
      </c>
      <c r="L969" s="2">
        <v>5</v>
      </c>
      <c r="M969" s="2">
        <v>5</v>
      </c>
      <c r="N969" s="2" t="s">
        <v>8</v>
      </c>
      <c r="O969" s="2">
        <v>6</v>
      </c>
      <c r="P969" s="2">
        <f ca="1">ROUND((IF(I969="",TODAY(),I969)-H969)/365,1)</f>
        <v>6.4</v>
      </c>
      <c r="Q969" s="2" t="str">
        <f t="shared" si="15"/>
        <v>Low</v>
      </c>
    </row>
    <row r="970" spans="1:17" x14ac:dyDescent="0.35">
      <c r="A970" s="2" t="s">
        <v>2661</v>
      </c>
      <c r="B970" s="2" t="s">
        <v>2662</v>
      </c>
      <c r="C970" s="2" t="s">
        <v>5</v>
      </c>
      <c r="D970" s="2" t="s">
        <v>207</v>
      </c>
      <c r="E970" s="2" t="s">
        <v>31</v>
      </c>
      <c r="F970" s="2">
        <v>55</v>
      </c>
      <c r="G970" s="2" t="s">
        <v>78</v>
      </c>
      <c r="H970" s="3" t="s">
        <v>2663</v>
      </c>
      <c r="I970" s="2"/>
      <c r="J970" s="2" t="s">
        <v>8</v>
      </c>
      <c r="K970" s="2">
        <v>30119</v>
      </c>
      <c r="L970" s="2">
        <v>4</v>
      </c>
      <c r="M970" s="2">
        <v>2</v>
      </c>
      <c r="N970" s="2" t="s">
        <v>6</v>
      </c>
      <c r="O970" s="2">
        <v>8</v>
      </c>
      <c r="P970" s="2">
        <f ca="1">ROUND((IF(I970="",TODAY(),I970)-H970)/365,1)</f>
        <v>3.2</v>
      </c>
      <c r="Q970" s="2" t="str">
        <f t="shared" si="15"/>
        <v>High</v>
      </c>
    </row>
    <row r="971" spans="1:17" x14ac:dyDescent="0.35">
      <c r="A971" s="2" t="s">
        <v>2664</v>
      </c>
      <c r="B971" s="2" t="s">
        <v>1029</v>
      </c>
      <c r="C971" s="2" t="s">
        <v>12</v>
      </c>
      <c r="D971" s="2" t="s">
        <v>55</v>
      </c>
      <c r="E971" s="2" t="s">
        <v>46</v>
      </c>
      <c r="F971" s="2">
        <v>48</v>
      </c>
      <c r="G971" s="2" t="s">
        <v>56</v>
      </c>
      <c r="H971" s="3" t="s">
        <v>2665</v>
      </c>
      <c r="I971" s="3" t="s">
        <v>2666</v>
      </c>
      <c r="J971" s="2" t="s">
        <v>6</v>
      </c>
      <c r="K971" s="2">
        <v>119364</v>
      </c>
      <c r="L971" s="2">
        <v>4</v>
      </c>
      <c r="M971" s="2">
        <v>1</v>
      </c>
      <c r="N971" s="2" t="s">
        <v>6</v>
      </c>
      <c r="O971" s="2">
        <v>19</v>
      </c>
      <c r="P971" s="2">
        <f ca="1">ROUND((IF(I971="",TODAY(),I971)-H971)/365,1)</f>
        <v>3.8</v>
      </c>
      <c r="Q971" s="2" t="str">
        <f t="shared" si="15"/>
        <v>N/A</v>
      </c>
    </row>
    <row r="972" spans="1:17" x14ac:dyDescent="0.35">
      <c r="A972" s="2" t="s">
        <v>2667</v>
      </c>
      <c r="B972" s="2" t="s">
        <v>2668</v>
      </c>
      <c r="C972" s="2" t="s">
        <v>11</v>
      </c>
      <c r="D972" s="2" t="s">
        <v>66</v>
      </c>
      <c r="E972" s="2" t="s">
        <v>31</v>
      </c>
      <c r="F972" s="2">
        <v>55</v>
      </c>
      <c r="G972" s="2" t="s">
        <v>78</v>
      </c>
      <c r="H972" s="3" t="s">
        <v>2669</v>
      </c>
      <c r="I972" s="2"/>
      <c r="J972" s="2" t="s">
        <v>8</v>
      </c>
      <c r="K972" s="2">
        <v>104235</v>
      </c>
      <c r="L972" s="2">
        <v>3</v>
      </c>
      <c r="M972" s="2">
        <v>5</v>
      </c>
      <c r="N972" s="2" t="s">
        <v>6</v>
      </c>
      <c r="O972" s="2">
        <v>34</v>
      </c>
      <c r="P972" s="2">
        <f ca="1">ROUND((IF(I972="",TODAY(),I972)-H972)/365,1)</f>
        <v>3.9</v>
      </c>
      <c r="Q972" s="2" t="str">
        <f t="shared" si="15"/>
        <v>Medium</v>
      </c>
    </row>
    <row r="973" spans="1:17" x14ac:dyDescent="0.35">
      <c r="A973" s="2" t="s">
        <v>2670</v>
      </c>
      <c r="B973" s="2" t="s">
        <v>2671</v>
      </c>
      <c r="C973" s="2" t="s">
        <v>7</v>
      </c>
      <c r="D973" s="2" t="s">
        <v>125</v>
      </c>
      <c r="E973" s="2" t="s">
        <v>31</v>
      </c>
      <c r="F973" s="2">
        <v>52</v>
      </c>
      <c r="G973" s="2" t="s">
        <v>32</v>
      </c>
      <c r="H973" s="3" t="s">
        <v>2174</v>
      </c>
      <c r="I973" s="3" t="s">
        <v>2672</v>
      </c>
      <c r="J973" s="2" t="s">
        <v>6</v>
      </c>
      <c r="K973" s="2">
        <v>33788</v>
      </c>
      <c r="L973" s="2">
        <v>2</v>
      </c>
      <c r="M973" s="2">
        <v>2</v>
      </c>
      <c r="N973" s="2" t="s">
        <v>6</v>
      </c>
      <c r="O973" s="2">
        <v>31</v>
      </c>
      <c r="P973" s="2">
        <f ca="1">ROUND((IF(I973="",TODAY(),I973)-H973)/365,1)</f>
        <v>4.4000000000000004</v>
      </c>
      <c r="Q973" s="2" t="str">
        <f t="shared" si="15"/>
        <v>N/A</v>
      </c>
    </row>
    <row r="974" spans="1:17" x14ac:dyDescent="0.35">
      <c r="A974" s="2" t="s">
        <v>2673</v>
      </c>
      <c r="B974" s="2" t="s">
        <v>2157</v>
      </c>
      <c r="C974" s="2" t="s">
        <v>7</v>
      </c>
      <c r="D974" s="2" t="s">
        <v>37</v>
      </c>
      <c r="E974" s="2" t="s">
        <v>31</v>
      </c>
      <c r="F974" s="2">
        <v>43</v>
      </c>
      <c r="G974" s="2" t="s">
        <v>78</v>
      </c>
      <c r="H974" s="3" t="s">
        <v>2674</v>
      </c>
      <c r="I974" s="2"/>
      <c r="J974" s="2" t="s">
        <v>8</v>
      </c>
      <c r="K974" s="2">
        <v>33751</v>
      </c>
      <c r="L974" s="2">
        <v>5</v>
      </c>
      <c r="M974" s="2">
        <v>4</v>
      </c>
      <c r="N974" s="2" t="s">
        <v>6</v>
      </c>
      <c r="O974" s="2">
        <v>11</v>
      </c>
      <c r="P974" s="2">
        <f ca="1">ROUND((IF(I974="",TODAY(),I974)-H974)/365,1)</f>
        <v>10.6</v>
      </c>
      <c r="Q974" s="2" t="str">
        <f t="shared" si="15"/>
        <v>Medium</v>
      </c>
    </row>
    <row r="975" spans="1:17" x14ac:dyDescent="0.35">
      <c r="A975" s="2" t="s">
        <v>2675</v>
      </c>
      <c r="B975" s="2" t="s">
        <v>956</v>
      </c>
      <c r="C975" s="2" t="s">
        <v>7</v>
      </c>
      <c r="D975" s="2" t="s">
        <v>125</v>
      </c>
      <c r="E975" s="2" t="s">
        <v>31</v>
      </c>
      <c r="F975" s="2">
        <v>40</v>
      </c>
      <c r="G975" s="2" t="s">
        <v>56</v>
      </c>
      <c r="H975" s="3" t="s">
        <v>1534</v>
      </c>
      <c r="I975" s="2"/>
      <c r="J975" s="2" t="s">
        <v>8</v>
      </c>
      <c r="K975" s="2">
        <v>73139</v>
      </c>
      <c r="L975" s="2">
        <v>5</v>
      </c>
      <c r="M975" s="2">
        <v>4</v>
      </c>
      <c r="N975" s="2" t="s">
        <v>8</v>
      </c>
      <c r="O975" s="2">
        <v>20</v>
      </c>
      <c r="P975" s="2">
        <f ca="1">ROUND((IF(I975="",TODAY(),I975)-H975)/365,1)</f>
        <v>2.4</v>
      </c>
      <c r="Q975" s="2" t="str">
        <f t="shared" si="15"/>
        <v>Low</v>
      </c>
    </row>
    <row r="976" spans="1:17" x14ac:dyDescent="0.35">
      <c r="A976" s="2" t="s">
        <v>2676</v>
      </c>
      <c r="B976" s="2" t="s">
        <v>1939</v>
      </c>
      <c r="C976" s="2" t="s">
        <v>9</v>
      </c>
      <c r="D976" s="2" t="s">
        <v>77</v>
      </c>
      <c r="E976" s="2" t="s">
        <v>31</v>
      </c>
      <c r="F976" s="2">
        <v>31</v>
      </c>
      <c r="G976" s="2" t="s">
        <v>32</v>
      </c>
      <c r="H976" s="3" t="s">
        <v>1229</v>
      </c>
      <c r="I976" s="3" t="s">
        <v>2677</v>
      </c>
      <c r="J976" s="2" t="s">
        <v>6</v>
      </c>
      <c r="K976" s="2">
        <v>98880</v>
      </c>
      <c r="L976" s="2">
        <v>2</v>
      </c>
      <c r="M976" s="2">
        <v>3</v>
      </c>
      <c r="N976" s="2" t="s">
        <v>8</v>
      </c>
      <c r="O976" s="2">
        <v>17</v>
      </c>
      <c r="P976" s="2">
        <f ca="1">ROUND((IF(I976="",TODAY(),I976)-H976)/365,1)</f>
        <v>6</v>
      </c>
      <c r="Q976" s="2" t="str">
        <f t="shared" si="15"/>
        <v>N/A</v>
      </c>
    </row>
    <row r="977" spans="1:17" x14ac:dyDescent="0.35">
      <c r="A977" s="2" t="s">
        <v>2678</v>
      </c>
      <c r="B977" s="2" t="s">
        <v>2679</v>
      </c>
      <c r="C977" s="2" t="s">
        <v>11</v>
      </c>
      <c r="D977" s="2" t="s">
        <v>98</v>
      </c>
      <c r="E977" s="2" t="s">
        <v>46</v>
      </c>
      <c r="F977" s="2">
        <v>39</v>
      </c>
      <c r="G977" s="2" t="s">
        <v>32</v>
      </c>
      <c r="H977" s="3" t="s">
        <v>2680</v>
      </c>
      <c r="I977" s="2"/>
      <c r="J977" s="2" t="s">
        <v>8</v>
      </c>
      <c r="K977" s="2">
        <v>47033</v>
      </c>
      <c r="L977" s="2">
        <v>4</v>
      </c>
      <c r="M977" s="2">
        <v>5</v>
      </c>
      <c r="N977" s="2" t="s">
        <v>8</v>
      </c>
      <c r="O977" s="2">
        <v>14</v>
      </c>
      <c r="P977" s="2">
        <f ca="1">ROUND((IF(I977="",TODAY(),I977)-H977)/365,1)</f>
        <v>2.6</v>
      </c>
      <c r="Q977" s="2" t="str">
        <f t="shared" si="15"/>
        <v>Low</v>
      </c>
    </row>
    <row r="978" spans="1:17" x14ac:dyDescent="0.35">
      <c r="A978" s="2" t="s">
        <v>2681</v>
      </c>
      <c r="B978" s="2" t="s">
        <v>2682</v>
      </c>
      <c r="C978" s="2" t="s">
        <v>7</v>
      </c>
      <c r="D978" s="2" t="s">
        <v>155</v>
      </c>
      <c r="E978" s="2" t="s">
        <v>31</v>
      </c>
      <c r="F978" s="2">
        <v>52</v>
      </c>
      <c r="G978" s="2" t="s">
        <v>78</v>
      </c>
      <c r="H978" s="3" t="s">
        <v>2683</v>
      </c>
      <c r="I978" s="3" t="s">
        <v>2684</v>
      </c>
      <c r="J978" s="2" t="s">
        <v>6</v>
      </c>
      <c r="K978" s="2">
        <v>92070</v>
      </c>
      <c r="L978" s="2">
        <v>1</v>
      </c>
      <c r="M978" s="2">
        <v>1</v>
      </c>
      <c r="N978" s="2" t="s">
        <v>6</v>
      </c>
      <c r="O978" s="2">
        <v>9</v>
      </c>
      <c r="P978" s="2">
        <f ca="1">ROUND((IF(I978="",TODAY(),I978)-H978)/365,1)</f>
        <v>1.5</v>
      </c>
      <c r="Q978" s="2" t="str">
        <f t="shared" si="15"/>
        <v>N/A</v>
      </c>
    </row>
    <row r="979" spans="1:17" x14ac:dyDescent="0.35">
      <c r="A979" s="2" t="s">
        <v>2685</v>
      </c>
      <c r="B979" s="2" t="s">
        <v>801</v>
      </c>
      <c r="C979" s="2" t="s">
        <v>9</v>
      </c>
      <c r="D979" s="2" t="s">
        <v>41</v>
      </c>
      <c r="E979" s="2" t="s">
        <v>31</v>
      </c>
      <c r="F979" s="2">
        <v>47</v>
      </c>
      <c r="G979" s="2" t="s">
        <v>56</v>
      </c>
      <c r="H979" s="3" t="s">
        <v>2686</v>
      </c>
      <c r="I979" s="2"/>
      <c r="J979" s="2" t="s">
        <v>8</v>
      </c>
      <c r="K979" s="2">
        <v>134923</v>
      </c>
      <c r="L979" s="2">
        <v>3</v>
      </c>
      <c r="M979" s="2">
        <v>4</v>
      </c>
      <c r="N979" s="2" t="s">
        <v>8</v>
      </c>
      <c r="O979" s="2">
        <v>20</v>
      </c>
      <c r="P979" s="2">
        <f ca="1">ROUND((IF(I979="",TODAY(),I979)-H979)/365,1)</f>
        <v>7.4</v>
      </c>
      <c r="Q979" s="2" t="str">
        <f t="shared" si="15"/>
        <v>Low</v>
      </c>
    </row>
    <row r="980" spans="1:17" x14ac:dyDescent="0.35">
      <c r="A980" s="2" t="s">
        <v>2687</v>
      </c>
      <c r="B980" s="2" t="s">
        <v>2688</v>
      </c>
      <c r="C980" s="2" t="s">
        <v>5</v>
      </c>
      <c r="D980" s="2" t="s">
        <v>102</v>
      </c>
      <c r="E980" s="2" t="s">
        <v>31</v>
      </c>
      <c r="F980" s="2">
        <v>31</v>
      </c>
      <c r="G980" s="2" t="s">
        <v>78</v>
      </c>
      <c r="H980" s="3" t="s">
        <v>2689</v>
      </c>
      <c r="I980" s="2"/>
      <c r="J980" s="2" t="s">
        <v>8</v>
      </c>
      <c r="K980" s="2">
        <v>128411</v>
      </c>
      <c r="L980" s="2">
        <v>4</v>
      </c>
      <c r="M980" s="2">
        <v>4</v>
      </c>
      <c r="N980" s="2" t="s">
        <v>8</v>
      </c>
      <c r="O980" s="2">
        <v>45</v>
      </c>
      <c r="P980" s="2">
        <f ca="1">ROUND((IF(I980="",TODAY(),I980)-H980)/365,1)</f>
        <v>2.2000000000000002</v>
      </c>
      <c r="Q980" s="2" t="str">
        <f t="shared" si="15"/>
        <v>Low</v>
      </c>
    </row>
    <row r="981" spans="1:17" x14ac:dyDescent="0.35">
      <c r="A981" s="2" t="s">
        <v>2690</v>
      </c>
      <c r="B981" s="2" t="s">
        <v>2691</v>
      </c>
      <c r="C981" s="2" t="s">
        <v>11</v>
      </c>
      <c r="D981" s="2" t="s">
        <v>66</v>
      </c>
      <c r="E981" s="2" t="s">
        <v>46</v>
      </c>
      <c r="F981" s="2">
        <v>45</v>
      </c>
      <c r="G981" s="2" t="s">
        <v>56</v>
      </c>
      <c r="H981" s="3" t="s">
        <v>355</v>
      </c>
      <c r="I981" s="2"/>
      <c r="J981" s="2" t="s">
        <v>8</v>
      </c>
      <c r="K981" s="2">
        <v>105868</v>
      </c>
      <c r="L981" s="2">
        <v>4</v>
      </c>
      <c r="M981" s="2">
        <v>3</v>
      </c>
      <c r="N981" s="2" t="s">
        <v>8</v>
      </c>
      <c r="O981" s="2">
        <v>14</v>
      </c>
      <c r="P981" s="2">
        <f ca="1">ROUND((IF(I981="",TODAY(),I981)-H981)/365,1)</f>
        <v>2</v>
      </c>
      <c r="Q981" s="2" t="str">
        <f t="shared" si="15"/>
        <v>Low</v>
      </c>
    </row>
    <row r="982" spans="1:17" x14ac:dyDescent="0.35">
      <c r="A982" s="2" t="s">
        <v>2692</v>
      </c>
      <c r="B982" s="2" t="s">
        <v>2691</v>
      </c>
      <c r="C982" s="2" t="s">
        <v>7</v>
      </c>
      <c r="D982" s="2" t="s">
        <v>125</v>
      </c>
      <c r="E982" s="2" t="s">
        <v>46</v>
      </c>
      <c r="F982" s="2">
        <v>34</v>
      </c>
      <c r="G982" s="2" t="s">
        <v>78</v>
      </c>
      <c r="H982" s="3" t="s">
        <v>2693</v>
      </c>
      <c r="I982" s="3" t="s">
        <v>2694</v>
      </c>
      <c r="J982" s="2" t="s">
        <v>6</v>
      </c>
      <c r="K982" s="2">
        <v>65683</v>
      </c>
      <c r="L982" s="2">
        <v>1</v>
      </c>
      <c r="M982" s="2">
        <v>2</v>
      </c>
      <c r="N982" s="2" t="s">
        <v>8</v>
      </c>
      <c r="O982" s="2">
        <v>38</v>
      </c>
      <c r="P982" s="2">
        <f ca="1">ROUND((IF(I982="",TODAY(),I982)-H982)/365,1)</f>
        <v>4.3</v>
      </c>
      <c r="Q982" s="2" t="str">
        <f t="shared" si="15"/>
        <v>N/A</v>
      </c>
    </row>
    <row r="983" spans="1:17" x14ac:dyDescent="0.35">
      <c r="A983" s="2" t="s">
        <v>2695</v>
      </c>
      <c r="B983" s="2" t="s">
        <v>928</v>
      </c>
      <c r="C983" s="2" t="s">
        <v>9</v>
      </c>
      <c r="D983" s="2" t="s">
        <v>77</v>
      </c>
      <c r="E983" s="2" t="s">
        <v>31</v>
      </c>
      <c r="F983" s="2">
        <v>24</v>
      </c>
      <c r="G983" s="2" t="s">
        <v>56</v>
      </c>
      <c r="H983" s="3" t="s">
        <v>2509</v>
      </c>
      <c r="I983" s="3" t="s">
        <v>2696</v>
      </c>
      <c r="J983" s="2" t="s">
        <v>6</v>
      </c>
      <c r="K983" s="2">
        <v>116160</v>
      </c>
      <c r="L983" s="2">
        <v>4</v>
      </c>
      <c r="M983" s="2">
        <v>4</v>
      </c>
      <c r="N983" s="2" t="s">
        <v>6</v>
      </c>
      <c r="O983" s="2">
        <v>3</v>
      </c>
      <c r="P983" s="2">
        <f ca="1">ROUND((IF(I983="",TODAY(),I983)-H983)/365,1)</f>
        <v>3.7</v>
      </c>
      <c r="Q983" s="2" t="str">
        <f t="shared" si="15"/>
        <v>N/A</v>
      </c>
    </row>
    <row r="984" spans="1:17" x14ac:dyDescent="0.35">
      <c r="A984" s="2" t="s">
        <v>2697</v>
      </c>
      <c r="B984" s="2" t="s">
        <v>710</v>
      </c>
      <c r="C984" s="2" t="s">
        <v>5</v>
      </c>
      <c r="D984" s="2" t="s">
        <v>102</v>
      </c>
      <c r="E984" s="2" t="s">
        <v>31</v>
      </c>
      <c r="F984" s="2">
        <v>51</v>
      </c>
      <c r="G984" s="2" t="s">
        <v>32</v>
      </c>
      <c r="H984" s="3" t="s">
        <v>367</v>
      </c>
      <c r="I984" s="2"/>
      <c r="J984" s="2" t="s">
        <v>8</v>
      </c>
      <c r="K984" s="2">
        <v>73435</v>
      </c>
      <c r="L984" s="2">
        <v>1</v>
      </c>
      <c r="M984" s="2">
        <v>5</v>
      </c>
      <c r="N984" s="2" t="s">
        <v>6</v>
      </c>
      <c r="O984" s="2">
        <v>3</v>
      </c>
      <c r="P984" s="2">
        <f ca="1">ROUND((IF(I984="",TODAY(),I984)-H984)/365,1)</f>
        <v>6.1</v>
      </c>
      <c r="Q984" s="2" t="str">
        <f t="shared" si="15"/>
        <v>Medium</v>
      </c>
    </row>
    <row r="985" spans="1:17" x14ac:dyDescent="0.35">
      <c r="A985" s="2" t="s">
        <v>2698</v>
      </c>
      <c r="B985" s="2" t="s">
        <v>509</v>
      </c>
      <c r="C985" s="2" t="s">
        <v>12</v>
      </c>
      <c r="D985" s="2" t="s">
        <v>30</v>
      </c>
      <c r="E985" s="2" t="s">
        <v>31</v>
      </c>
      <c r="F985" s="2">
        <v>48</v>
      </c>
      <c r="G985" s="2" t="s">
        <v>32</v>
      </c>
      <c r="H985" s="3" t="s">
        <v>2699</v>
      </c>
      <c r="I985" s="3" t="s">
        <v>2700</v>
      </c>
      <c r="J985" s="2" t="s">
        <v>6</v>
      </c>
      <c r="K985" s="2">
        <v>118138</v>
      </c>
      <c r="L985" s="2">
        <v>4</v>
      </c>
      <c r="M985" s="2">
        <v>1</v>
      </c>
      <c r="N985" s="2" t="s">
        <v>8</v>
      </c>
      <c r="O985" s="2">
        <v>41</v>
      </c>
      <c r="P985" s="2">
        <f ca="1">ROUND((IF(I985="",TODAY(),I985)-H985)/365,1)</f>
        <v>1.7</v>
      </c>
      <c r="Q985" s="2" t="str">
        <f t="shared" si="15"/>
        <v>N/A</v>
      </c>
    </row>
    <row r="986" spans="1:17" x14ac:dyDescent="0.35">
      <c r="A986" s="2" t="s">
        <v>2701</v>
      </c>
      <c r="B986" s="2" t="s">
        <v>1078</v>
      </c>
      <c r="C986" s="2" t="s">
        <v>9</v>
      </c>
      <c r="D986" s="2" t="s">
        <v>51</v>
      </c>
      <c r="E986" s="2" t="s">
        <v>31</v>
      </c>
      <c r="F986" s="2">
        <v>32</v>
      </c>
      <c r="G986" s="2" t="s">
        <v>56</v>
      </c>
      <c r="H986" s="3" t="s">
        <v>879</v>
      </c>
      <c r="I986" s="2"/>
      <c r="J986" s="2" t="s">
        <v>8</v>
      </c>
      <c r="K986" s="2">
        <v>148279</v>
      </c>
      <c r="L986" s="2">
        <v>5</v>
      </c>
      <c r="M986" s="2">
        <v>3</v>
      </c>
      <c r="N986" s="2" t="s">
        <v>8</v>
      </c>
      <c r="O986" s="2">
        <v>1</v>
      </c>
      <c r="P986" s="2">
        <f ca="1">ROUND((IF(I986="",TODAY(),I986)-H986)/365,1)</f>
        <v>1.4</v>
      </c>
      <c r="Q986" s="2" t="str">
        <f t="shared" si="15"/>
        <v>Low</v>
      </c>
    </row>
    <row r="987" spans="1:17" x14ac:dyDescent="0.35">
      <c r="A987" s="2" t="s">
        <v>2702</v>
      </c>
      <c r="B987" s="2" t="s">
        <v>1537</v>
      </c>
      <c r="C987" s="2" t="s">
        <v>12</v>
      </c>
      <c r="D987" s="2" t="s">
        <v>55</v>
      </c>
      <c r="E987" s="2" t="s">
        <v>31</v>
      </c>
      <c r="F987" s="2">
        <v>54</v>
      </c>
      <c r="G987" s="2" t="s">
        <v>78</v>
      </c>
      <c r="H987" s="3" t="s">
        <v>180</v>
      </c>
      <c r="I987" s="2"/>
      <c r="J987" s="2" t="s">
        <v>8</v>
      </c>
      <c r="K987" s="2">
        <v>30833</v>
      </c>
      <c r="L987" s="2">
        <v>2</v>
      </c>
      <c r="M987" s="2">
        <v>1</v>
      </c>
      <c r="N987" s="2" t="s">
        <v>8</v>
      </c>
      <c r="O987" s="2">
        <v>29</v>
      </c>
      <c r="P987" s="2">
        <f ca="1">ROUND((IF(I987="",TODAY(),I987)-H987)/365,1)</f>
        <v>10</v>
      </c>
      <c r="Q987" s="2" t="str">
        <f t="shared" si="15"/>
        <v>Medium</v>
      </c>
    </row>
    <row r="988" spans="1:17" x14ac:dyDescent="0.35">
      <c r="A988" s="2" t="s">
        <v>2703</v>
      </c>
      <c r="B988" s="2" t="s">
        <v>2691</v>
      </c>
      <c r="C988" s="2" t="s">
        <v>12</v>
      </c>
      <c r="D988" s="2" t="s">
        <v>55</v>
      </c>
      <c r="E988" s="2" t="s">
        <v>46</v>
      </c>
      <c r="F988" s="2">
        <v>41</v>
      </c>
      <c r="G988" s="2" t="s">
        <v>56</v>
      </c>
      <c r="H988" s="3" t="s">
        <v>2704</v>
      </c>
      <c r="I988" s="3" t="s">
        <v>2705</v>
      </c>
      <c r="J988" s="2" t="s">
        <v>6</v>
      </c>
      <c r="K988" s="2">
        <v>99471</v>
      </c>
      <c r="L988" s="2">
        <v>3</v>
      </c>
      <c r="M988" s="2">
        <v>1</v>
      </c>
      <c r="N988" s="2" t="s">
        <v>8</v>
      </c>
      <c r="O988" s="2">
        <v>30</v>
      </c>
      <c r="P988" s="2">
        <f ca="1">ROUND((IF(I988="",TODAY(),I988)-H988)/365,1)</f>
        <v>5.4</v>
      </c>
      <c r="Q988" s="2" t="str">
        <f t="shared" si="15"/>
        <v>N/A</v>
      </c>
    </row>
    <row r="989" spans="1:17" x14ac:dyDescent="0.35">
      <c r="A989" s="2" t="s">
        <v>2706</v>
      </c>
      <c r="B989" s="2" t="s">
        <v>1432</v>
      </c>
      <c r="C989" s="2" t="s">
        <v>5</v>
      </c>
      <c r="D989" s="2" t="s">
        <v>94</v>
      </c>
      <c r="E989" s="2" t="s">
        <v>31</v>
      </c>
      <c r="F989" s="2">
        <v>33</v>
      </c>
      <c r="G989" s="2" t="s">
        <v>56</v>
      </c>
      <c r="H989" s="3" t="s">
        <v>2063</v>
      </c>
      <c r="I989" s="2"/>
      <c r="J989" s="2" t="s">
        <v>8</v>
      </c>
      <c r="K989" s="2">
        <v>53511</v>
      </c>
      <c r="L989" s="2">
        <v>2</v>
      </c>
      <c r="M989" s="2">
        <v>1</v>
      </c>
      <c r="N989" s="2" t="s">
        <v>8</v>
      </c>
      <c r="O989" s="2">
        <v>1</v>
      </c>
      <c r="P989" s="2">
        <f ca="1">ROUND((IF(I989="",TODAY(),I989)-H989)/365,1)</f>
        <v>8</v>
      </c>
      <c r="Q989" s="2" t="str">
        <f t="shared" si="15"/>
        <v>Medium</v>
      </c>
    </row>
    <row r="990" spans="1:17" x14ac:dyDescent="0.35">
      <c r="A990" s="2" t="s">
        <v>2707</v>
      </c>
      <c r="B990" s="2" t="s">
        <v>2439</v>
      </c>
      <c r="C990" s="2" t="s">
        <v>5</v>
      </c>
      <c r="D990" s="2" t="s">
        <v>102</v>
      </c>
      <c r="E990" s="2" t="s">
        <v>31</v>
      </c>
      <c r="F990" s="2">
        <v>30</v>
      </c>
      <c r="G990" s="2" t="s">
        <v>56</v>
      </c>
      <c r="H990" s="3" t="s">
        <v>424</v>
      </c>
      <c r="I990" s="2"/>
      <c r="J990" s="2" t="s">
        <v>8</v>
      </c>
      <c r="K990" s="2">
        <v>43405</v>
      </c>
      <c r="L990" s="2">
        <v>2</v>
      </c>
      <c r="M990" s="2">
        <v>3</v>
      </c>
      <c r="N990" s="2" t="s">
        <v>6</v>
      </c>
      <c r="O990" s="2">
        <v>18</v>
      </c>
      <c r="P990" s="2">
        <f ca="1">ROUND((IF(I990="",TODAY(),I990)-H990)/365,1)</f>
        <v>8.1</v>
      </c>
      <c r="Q990" s="2" t="str">
        <f t="shared" si="15"/>
        <v>Medium</v>
      </c>
    </row>
    <row r="991" spans="1:17" x14ac:dyDescent="0.35">
      <c r="A991" s="2" t="s">
        <v>2708</v>
      </c>
      <c r="B991" s="2" t="s">
        <v>867</v>
      </c>
      <c r="C991" s="2" t="s">
        <v>7</v>
      </c>
      <c r="D991" s="2" t="s">
        <v>155</v>
      </c>
      <c r="E991" s="2" t="s">
        <v>46</v>
      </c>
      <c r="F991" s="2">
        <v>40</v>
      </c>
      <c r="G991" s="2" t="s">
        <v>56</v>
      </c>
      <c r="H991" s="3" t="s">
        <v>2709</v>
      </c>
      <c r="I991" s="2"/>
      <c r="J991" s="2" t="s">
        <v>8</v>
      </c>
      <c r="K991" s="2">
        <v>71550</v>
      </c>
      <c r="L991" s="2">
        <v>1</v>
      </c>
      <c r="M991" s="2">
        <v>3</v>
      </c>
      <c r="N991" s="2" t="s">
        <v>8</v>
      </c>
      <c r="O991" s="2">
        <v>32</v>
      </c>
      <c r="P991" s="2">
        <f ca="1">ROUND((IF(I991="",TODAY(),I991)-H991)/365,1)</f>
        <v>8.6999999999999993</v>
      </c>
      <c r="Q991" s="2" t="str">
        <f t="shared" si="15"/>
        <v>Low</v>
      </c>
    </row>
    <row r="992" spans="1:17" x14ac:dyDescent="0.35">
      <c r="A992" s="2" t="s">
        <v>2710</v>
      </c>
      <c r="B992" s="2" t="s">
        <v>1637</v>
      </c>
      <c r="C992" s="2" t="s">
        <v>12</v>
      </c>
      <c r="D992" s="2" t="s">
        <v>55</v>
      </c>
      <c r="E992" s="2" t="s">
        <v>46</v>
      </c>
      <c r="F992" s="2">
        <v>46</v>
      </c>
      <c r="G992" s="2" t="s">
        <v>56</v>
      </c>
      <c r="H992" s="3" t="s">
        <v>2711</v>
      </c>
      <c r="I992" s="2"/>
      <c r="J992" s="2" t="s">
        <v>8</v>
      </c>
      <c r="K992" s="2">
        <v>109673</v>
      </c>
      <c r="L992" s="2">
        <v>4</v>
      </c>
      <c r="M992" s="2">
        <v>2</v>
      </c>
      <c r="N992" s="2" t="s">
        <v>8</v>
      </c>
      <c r="O992" s="2">
        <v>23</v>
      </c>
      <c r="P992" s="2">
        <f ca="1">ROUND((IF(I992="",TODAY(),I992)-H992)/365,1)</f>
        <v>9.9</v>
      </c>
      <c r="Q992" s="2" t="str">
        <f t="shared" si="15"/>
        <v>Medium</v>
      </c>
    </row>
    <row r="993" spans="1:17" x14ac:dyDescent="0.35">
      <c r="A993" s="2" t="s">
        <v>2712</v>
      </c>
      <c r="B993" s="2" t="s">
        <v>617</v>
      </c>
      <c r="C993" s="2" t="s">
        <v>7</v>
      </c>
      <c r="D993" s="2" t="s">
        <v>125</v>
      </c>
      <c r="E993" s="2" t="s">
        <v>46</v>
      </c>
      <c r="F993" s="2">
        <v>35</v>
      </c>
      <c r="G993" s="2" t="s">
        <v>56</v>
      </c>
      <c r="H993" s="3" t="s">
        <v>2713</v>
      </c>
      <c r="I993" s="2"/>
      <c r="J993" s="2" t="s">
        <v>8</v>
      </c>
      <c r="K993" s="2">
        <v>92768</v>
      </c>
      <c r="L993" s="2">
        <v>1</v>
      </c>
      <c r="M993" s="2">
        <v>3</v>
      </c>
      <c r="N993" s="2" t="s">
        <v>6</v>
      </c>
      <c r="O993" s="2">
        <v>8</v>
      </c>
      <c r="P993" s="2">
        <f ca="1">ROUND((IF(I993="",TODAY(),I993)-H993)/365,1)</f>
        <v>8.6999999999999993</v>
      </c>
      <c r="Q993" s="2" t="str">
        <f t="shared" si="15"/>
        <v>Medium</v>
      </c>
    </row>
    <row r="994" spans="1:17" x14ac:dyDescent="0.35">
      <c r="A994" s="2" t="s">
        <v>2714</v>
      </c>
      <c r="B994" s="2" t="s">
        <v>1408</v>
      </c>
      <c r="C994" s="2" t="s">
        <v>10</v>
      </c>
      <c r="D994" s="2" t="s">
        <v>111</v>
      </c>
      <c r="E994" s="2" t="s">
        <v>46</v>
      </c>
      <c r="F994" s="2">
        <v>45</v>
      </c>
      <c r="G994" s="2" t="s">
        <v>32</v>
      </c>
      <c r="H994" s="3" t="s">
        <v>2715</v>
      </c>
      <c r="I994" s="2"/>
      <c r="J994" s="2" t="s">
        <v>8</v>
      </c>
      <c r="K994" s="2">
        <v>116919</v>
      </c>
      <c r="L994" s="2">
        <v>1</v>
      </c>
      <c r="M994" s="2">
        <v>5</v>
      </c>
      <c r="N994" s="2" t="s">
        <v>8</v>
      </c>
      <c r="O994" s="2">
        <v>21</v>
      </c>
      <c r="P994" s="2">
        <f ca="1">ROUND((IF(I994="",TODAY(),I994)-H994)/365,1)</f>
        <v>5.3</v>
      </c>
      <c r="Q994" s="2" t="str">
        <f t="shared" si="15"/>
        <v>Low</v>
      </c>
    </row>
    <row r="995" spans="1:17" x14ac:dyDescent="0.35">
      <c r="A995" s="2" t="s">
        <v>2716</v>
      </c>
      <c r="B995" s="2" t="s">
        <v>2103</v>
      </c>
      <c r="C995" s="2" t="s">
        <v>5</v>
      </c>
      <c r="D995" s="2" t="s">
        <v>94</v>
      </c>
      <c r="E995" s="2" t="s">
        <v>46</v>
      </c>
      <c r="F995" s="2">
        <v>43</v>
      </c>
      <c r="G995" s="2" t="s">
        <v>78</v>
      </c>
      <c r="H995" s="3" t="s">
        <v>1520</v>
      </c>
      <c r="I995" s="2"/>
      <c r="J995" s="2" t="s">
        <v>8</v>
      </c>
      <c r="K995" s="2">
        <v>46331</v>
      </c>
      <c r="L995" s="2">
        <v>3</v>
      </c>
      <c r="M995" s="2">
        <v>2</v>
      </c>
      <c r="N995" s="2" t="s">
        <v>8</v>
      </c>
      <c r="O995" s="2">
        <v>20</v>
      </c>
      <c r="P995" s="2">
        <f ca="1">ROUND((IF(I995="",TODAY(),I995)-H995)/365,1)</f>
        <v>4.3</v>
      </c>
      <c r="Q995" s="2" t="str">
        <f t="shared" si="15"/>
        <v>Medium</v>
      </c>
    </row>
    <row r="996" spans="1:17" x14ac:dyDescent="0.35">
      <c r="A996" s="2" t="s">
        <v>2717</v>
      </c>
      <c r="B996" s="2" t="s">
        <v>605</v>
      </c>
      <c r="C996" s="2" t="s">
        <v>5</v>
      </c>
      <c r="D996" s="2" t="s">
        <v>207</v>
      </c>
      <c r="E996" s="2" t="s">
        <v>46</v>
      </c>
      <c r="F996" s="2">
        <v>49</v>
      </c>
      <c r="G996" s="2" t="s">
        <v>78</v>
      </c>
      <c r="H996" s="3" t="s">
        <v>1315</v>
      </c>
      <c r="I996" s="2"/>
      <c r="J996" s="2" t="s">
        <v>8</v>
      </c>
      <c r="K996" s="2">
        <v>103766</v>
      </c>
      <c r="L996" s="2">
        <v>3</v>
      </c>
      <c r="M996" s="2">
        <v>2</v>
      </c>
      <c r="N996" s="2" t="s">
        <v>8</v>
      </c>
      <c r="O996" s="2">
        <v>24</v>
      </c>
      <c r="P996" s="2">
        <f ca="1">ROUND((IF(I996="",TODAY(),I996)-H996)/365,1)</f>
        <v>3.4</v>
      </c>
      <c r="Q996" s="2" t="str">
        <f t="shared" si="15"/>
        <v>Medium</v>
      </c>
    </row>
    <row r="997" spans="1:17" x14ac:dyDescent="0.35">
      <c r="A997" s="2" t="s">
        <v>2718</v>
      </c>
      <c r="B997" s="2" t="s">
        <v>2719</v>
      </c>
      <c r="C997" s="2" t="s">
        <v>10</v>
      </c>
      <c r="D997" s="2" t="s">
        <v>258</v>
      </c>
      <c r="E997" s="2" t="s">
        <v>31</v>
      </c>
      <c r="F997" s="2">
        <v>28</v>
      </c>
      <c r="G997" s="2" t="s">
        <v>32</v>
      </c>
      <c r="H997" s="3" t="s">
        <v>2720</v>
      </c>
      <c r="I997" s="3" t="s">
        <v>2721</v>
      </c>
      <c r="J997" s="2" t="s">
        <v>6</v>
      </c>
      <c r="K997" s="2">
        <v>102735</v>
      </c>
      <c r="L997" s="2">
        <v>5</v>
      </c>
      <c r="M997" s="2">
        <v>3</v>
      </c>
      <c r="N997" s="2" t="s">
        <v>8</v>
      </c>
      <c r="O997" s="2">
        <v>26</v>
      </c>
      <c r="P997" s="2">
        <f ca="1">ROUND((IF(I997="",TODAY(),I997)-H997)/365,1)</f>
        <v>2</v>
      </c>
      <c r="Q997" s="2" t="str">
        <f t="shared" si="15"/>
        <v>N/A</v>
      </c>
    </row>
    <row r="998" spans="1:17" x14ac:dyDescent="0.35">
      <c r="A998" s="2" t="s">
        <v>2722</v>
      </c>
      <c r="B998" s="2" t="s">
        <v>2723</v>
      </c>
      <c r="C998" s="2" t="s">
        <v>9</v>
      </c>
      <c r="D998" s="2" t="s">
        <v>77</v>
      </c>
      <c r="E998" s="2" t="s">
        <v>31</v>
      </c>
      <c r="F998" s="2">
        <v>30</v>
      </c>
      <c r="G998" s="2" t="s">
        <v>32</v>
      </c>
      <c r="H998" s="3" t="s">
        <v>2724</v>
      </c>
      <c r="I998" s="2"/>
      <c r="J998" s="2" t="s">
        <v>8</v>
      </c>
      <c r="K998" s="2">
        <v>128922</v>
      </c>
      <c r="L998" s="2">
        <v>1</v>
      </c>
      <c r="M998" s="2">
        <v>1</v>
      </c>
      <c r="N998" s="2" t="s">
        <v>6</v>
      </c>
      <c r="O998" s="2">
        <v>20</v>
      </c>
      <c r="P998" s="2">
        <f ca="1">ROUND((IF(I998="",TODAY(),I998)-H998)/365,1)</f>
        <v>4.2</v>
      </c>
      <c r="Q998" s="2" t="str">
        <f t="shared" si="15"/>
        <v>High</v>
      </c>
    </row>
    <row r="999" spans="1:17" x14ac:dyDescent="0.35">
      <c r="A999" s="2" t="s">
        <v>2725</v>
      </c>
      <c r="B999" s="2" t="s">
        <v>2592</v>
      </c>
      <c r="C999" s="2" t="s">
        <v>10</v>
      </c>
      <c r="D999" s="2" t="s">
        <v>258</v>
      </c>
      <c r="E999" s="2" t="s">
        <v>31</v>
      </c>
      <c r="F999" s="2">
        <v>31</v>
      </c>
      <c r="G999" s="2" t="s">
        <v>32</v>
      </c>
      <c r="H999" s="3" t="s">
        <v>1968</v>
      </c>
      <c r="I999" s="2"/>
      <c r="J999" s="2" t="s">
        <v>8</v>
      </c>
      <c r="K999" s="2">
        <v>49195</v>
      </c>
      <c r="L999" s="2">
        <v>3</v>
      </c>
      <c r="M999" s="2">
        <v>3</v>
      </c>
      <c r="N999" s="2" t="s">
        <v>8</v>
      </c>
      <c r="O999" s="2">
        <v>6</v>
      </c>
      <c r="P999" s="2">
        <f ca="1">ROUND((IF(I999="",TODAY(),I999)-H999)/365,1)</f>
        <v>9.4</v>
      </c>
      <c r="Q999" s="2" t="str">
        <f t="shared" si="15"/>
        <v>Low</v>
      </c>
    </row>
    <row r="1000" spans="1:17" x14ac:dyDescent="0.35">
      <c r="A1000" s="2" t="s">
        <v>2726</v>
      </c>
      <c r="B1000" s="2" t="s">
        <v>468</v>
      </c>
      <c r="C1000" s="2" t="s">
        <v>10</v>
      </c>
      <c r="D1000" s="2" t="s">
        <v>111</v>
      </c>
      <c r="E1000" s="2" t="s">
        <v>31</v>
      </c>
      <c r="F1000" s="2">
        <v>45</v>
      </c>
      <c r="G1000" s="2" t="s">
        <v>56</v>
      </c>
      <c r="H1000" s="3" t="s">
        <v>2727</v>
      </c>
      <c r="I1000" s="2"/>
      <c r="J1000" s="2" t="s">
        <v>8</v>
      </c>
      <c r="K1000" s="2">
        <v>97067</v>
      </c>
      <c r="L1000" s="2">
        <v>1</v>
      </c>
      <c r="M1000" s="2">
        <v>3</v>
      </c>
      <c r="N1000" s="2" t="s">
        <v>8</v>
      </c>
      <c r="O1000" s="2">
        <v>31</v>
      </c>
      <c r="P1000" s="2">
        <f ca="1">ROUND((IF(I1000="",TODAY(),I1000)-H1000)/365,1)</f>
        <v>11.6</v>
      </c>
      <c r="Q1000" s="2" t="str">
        <f t="shared" si="15"/>
        <v>Low</v>
      </c>
    </row>
    <row r="1001" spans="1:17" x14ac:dyDescent="0.35">
      <c r="A1001" s="2" t="s">
        <v>2728</v>
      </c>
      <c r="B1001" s="2" t="s">
        <v>2112</v>
      </c>
      <c r="C1001" s="2" t="s">
        <v>7</v>
      </c>
      <c r="D1001" s="2" t="s">
        <v>125</v>
      </c>
      <c r="E1001" s="2" t="s">
        <v>46</v>
      </c>
      <c r="F1001" s="2">
        <v>28</v>
      </c>
      <c r="G1001" s="2" t="s">
        <v>78</v>
      </c>
      <c r="H1001" s="3" t="s">
        <v>2729</v>
      </c>
      <c r="I1001" s="2"/>
      <c r="J1001" s="2" t="s">
        <v>8</v>
      </c>
      <c r="K1001" s="2">
        <v>142705</v>
      </c>
      <c r="L1001" s="2">
        <v>4</v>
      </c>
      <c r="M1001" s="2">
        <v>2</v>
      </c>
      <c r="N1001" s="2" t="s">
        <v>6</v>
      </c>
      <c r="O1001" s="2">
        <v>21</v>
      </c>
      <c r="P1001" s="2">
        <f ca="1">ROUND((IF(I1001="",TODAY(),I1001)-H1001)/365,1)</f>
        <v>7.3</v>
      </c>
      <c r="Q1001" s="2" t="str">
        <f t="shared" si="15"/>
        <v>High</v>
      </c>
    </row>
    <row r="1002" spans="1:17" x14ac:dyDescent="0.35">
      <c r="A1002" s="2" t="s">
        <v>2730</v>
      </c>
      <c r="B1002" s="2" t="s">
        <v>1830</v>
      </c>
      <c r="C1002" s="2" t="s">
        <v>12</v>
      </c>
      <c r="D1002" s="2" t="s">
        <v>133</v>
      </c>
      <c r="E1002" s="2" t="s">
        <v>46</v>
      </c>
      <c r="F1002" s="2">
        <v>44</v>
      </c>
      <c r="G1002" s="2" t="s">
        <v>56</v>
      </c>
      <c r="H1002" s="3" t="s">
        <v>2731</v>
      </c>
      <c r="I1002" s="3" t="s">
        <v>2732</v>
      </c>
      <c r="J1002" s="2" t="s">
        <v>6</v>
      </c>
      <c r="K1002" s="2">
        <v>141075</v>
      </c>
      <c r="L1002" s="2">
        <v>1</v>
      </c>
      <c r="M1002" s="2">
        <v>5</v>
      </c>
      <c r="N1002" s="2" t="s">
        <v>8</v>
      </c>
      <c r="O1002" s="2">
        <v>15</v>
      </c>
      <c r="P1002" s="2">
        <f ca="1">ROUND((IF(I1002="",TODAY(),I1002)-H1002)/365,1)</f>
        <v>2.8</v>
      </c>
      <c r="Q1002" s="2" t="str">
        <f t="shared" si="15"/>
        <v>N/A</v>
      </c>
    </row>
    <row r="1003" spans="1:17" x14ac:dyDescent="0.35">
      <c r="A1003" s="2" t="s">
        <v>2733</v>
      </c>
      <c r="B1003" s="2" t="s">
        <v>1897</v>
      </c>
      <c r="C1003" s="2" t="s">
        <v>9</v>
      </c>
      <c r="D1003" s="2" t="s">
        <v>41</v>
      </c>
      <c r="E1003" s="2" t="s">
        <v>46</v>
      </c>
      <c r="F1003" s="2">
        <v>47</v>
      </c>
      <c r="G1003" s="2" t="s">
        <v>32</v>
      </c>
      <c r="H1003" s="3" t="s">
        <v>2734</v>
      </c>
      <c r="I1003" s="3" t="s">
        <v>91</v>
      </c>
      <c r="J1003" s="2" t="s">
        <v>6</v>
      </c>
      <c r="K1003" s="2">
        <v>49637</v>
      </c>
      <c r="L1003" s="2">
        <v>2</v>
      </c>
      <c r="M1003" s="2">
        <v>2</v>
      </c>
      <c r="N1003" s="2" t="s">
        <v>6</v>
      </c>
      <c r="O1003" s="2">
        <v>32</v>
      </c>
      <c r="P1003" s="2">
        <f ca="1">ROUND((IF(I1003="",TODAY(),I1003)-H1003)/365,1)</f>
        <v>0.8</v>
      </c>
      <c r="Q1003" s="2" t="str">
        <f t="shared" si="15"/>
        <v>N/A</v>
      </c>
    </row>
    <row r="1004" spans="1:17" x14ac:dyDescent="0.35">
      <c r="A1004" s="2" t="s">
        <v>2735</v>
      </c>
      <c r="B1004" s="2" t="s">
        <v>1180</v>
      </c>
      <c r="C1004" s="2" t="s">
        <v>5</v>
      </c>
      <c r="D1004" s="2" t="s">
        <v>207</v>
      </c>
      <c r="E1004" s="2" t="s">
        <v>46</v>
      </c>
      <c r="F1004" s="2">
        <v>31</v>
      </c>
      <c r="G1004" s="2" t="s">
        <v>32</v>
      </c>
      <c r="H1004" s="3" t="s">
        <v>2736</v>
      </c>
      <c r="I1004" s="3" t="s">
        <v>2737</v>
      </c>
      <c r="J1004" s="2" t="s">
        <v>6</v>
      </c>
      <c r="K1004" s="2">
        <v>80277</v>
      </c>
      <c r="L1004" s="2">
        <v>1</v>
      </c>
      <c r="M1004" s="2">
        <v>4</v>
      </c>
      <c r="N1004" s="2" t="s">
        <v>6</v>
      </c>
      <c r="O1004" s="2">
        <v>17</v>
      </c>
      <c r="P1004" s="2">
        <f ca="1">ROUND((IF(I1004="",TODAY(),I1004)-H1004)/365,1)</f>
        <v>7.8</v>
      </c>
      <c r="Q1004" s="2" t="str">
        <f t="shared" si="15"/>
        <v>N/A</v>
      </c>
    </row>
    <row r="1005" spans="1:17" x14ac:dyDescent="0.35">
      <c r="A1005" s="2" t="s">
        <v>2738</v>
      </c>
      <c r="B1005" s="2" t="s">
        <v>2739</v>
      </c>
      <c r="C1005" s="2" t="s">
        <v>11</v>
      </c>
      <c r="D1005" s="2" t="s">
        <v>45</v>
      </c>
      <c r="E1005" s="2" t="s">
        <v>46</v>
      </c>
      <c r="F1005" s="2">
        <v>28</v>
      </c>
      <c r="G1005" s="2" t="s">
        <v>56</v>
      </c>
      <c r="H1005" s="3" t="s">
        <v>2740</v>
      </c>
      <c r="I1005" s="2"/>
      <c r="J1005" s="2" t="s">
        <v>8</v>
      </c>
      <c r="K1005" s="2">
        <v>41874</v>
      </c>
      <c r="L1005" s="2">
        <v>2</v>
      </c>
      <c r="M1005" s="2">
        <v>1</v>
      </c>
      <c r="N1005" s="2" t="s">
        <v>8</v>
      </c>
      <c r="O1005" s="2">
        <v>21</v>
      </c>
      <c r="P1005" s="2">
        <f ca="1">ROUND((IF(I1005="",TODAY(),I1005)-H1005)/365,1)</f>
        <v>4.3</v>
      </c>
      <c r="Q1005" s="2" t="str">
        <f t="shared" si="15"/>
        <v>Medium</v>
      </c>
    </row>
    <row r="1006" spans="1:17" x14ac:dyDescent="0.35">
      <c r="A1006" s="2" t="s">
        <v>2741</v>
      </c>
      <c r="B1006" s="2" t="s">
        <v>1828</v>
      </c>
      <c r="C1006" s="2" t="s">
        <v>12</v>
      </c>
      <c r="D1006" s="2" t="s">
        <v>133</v>
      </c>
      <c r="E1006" s="2" t="s">
        <v>31</v>
      </c>
      <c r="F1006" s="2">
        <v>49</v>
      </c>
      <c r="G1006" s="2" t="s">
        <v>56</v>
      </c>
      <c r="H1006" s="3" t="s">
        <v>2742</v>
      </c>
      <c r="I1006" s="2"/>
      <c r="J1006" s="2" t="s">
        <v>8</v>
      </c>
      <c r="K1006" s="2">
        <v>40198</v>
      </c>
      <c r="L1006" s="2">
        <v>3</v>
      </c>
      <c r="M1006" s="2">
        <v>4</v>
      </c>
      <c r="N1006" s="2" t="s">
        <v>6</v>
      </c>
      <c r="O1006" s="2">
        <v>41</v>
      </c>
      <c r="P1006" s="2">
        <f ca="1">ROUND((IF(I1006="",TODAY(),I1006)-H1006)/365,1)</f>
        <v>3</v>
      </c>
      <c r="Q1006" s="2" t="str">
        <f t="shared" si="15"/>
        <v>Medium</v>
      </c>
    </row>
    <row r="1007" spans="1:17" x14ac:dyDescent="0.35">
      <c r="A1007" s="2" t="s">
        <v>2743</v>
      </c>
      <c r="B1007" s="2" t="s">
        <v>2103</v>
      </c>
      <c r="C1007" s="2" t="s">
        <v>10</v>
      </c>
      <c r="D1007" s="2" t="s">
        <v>70</v>
      </c>
      <c r="E1007" s="2" t="s">
        <v>46</v>
      </c>
      <c r="F1007" s="2">
        <v>56</v>
      </c>
      <c r="G1007" s="2" t="s">
        <v>78</v>
      </c>
      <c r="H1007" s="3" t="s">
        <v>2744</v>
      </c>
      <c r="I1007" s="2"/>
      <c r="J1007" s="2" t="s">
        <v>8</v>
      </c>
      <c r="K1007" s="2">
        <v>124563</v>
      </c>
      <c r="L1007" s="2">
        <v>4</v>
      </c>
      <c r="M1007" s="2">
        <v>2</v>
      </c>
      <c r="N1007" s="2" t="s">
        <v>6</v>
      </c>
      <c r="O1007" s="2">
        <v>35</v>
      </c>
      <c r="P1007" s="2">
        <f ca="1">ROUND((IF(I1007="",TODAY(),I1007)-H1007)/365,1)</f>
        <v>7.5</v>
      </c>
      <c r="Q1007" s="2" t="str">
        <f t="shared" si="15"/>
        <v>High</v>
      </c>
    </row>
    <row r="1008" spans="1:17" x14ac:dyDescent="0.35">
      <c r="A1008" s="2" t="s">
        <v>2745</v>
      </c>
      <c r="B1008" s="2" t="s">
        <v>1377</v>
      </c>
      <c r="C1008" s="2" t="s">
        <v>5</v>
      </c>
      <c r="D1008" s="2" t="s">
        <v>94</v>
      </c>
      <c r="E1008" s="2" t="s">
        <v>31</v>
      </c>
      <c r="F1008" s="2">
        <v>38</v>
      </c>
      <c r="G1008" s="2" t="s">
        <v>78</v>
      </c>
      <c r="H1008" s="3" t="s">
        <v>2746</v>
      </c>
      <c r="I1008" s="2"/>
      <c r="J1008" s="2" t="s">
        <v>8</v>
      </c>
      <c r="K1008" s="2">
        <v>31362</v>
      </c>
      <c r="L1008" s="2">
        <v>4</v>
      </c>
      <c r="M1008" s="2">
        <v>5</v>
      </c>
      <c r="N1008" s="2" t="s">
        <v>8</v>
      </c>
      <c r="O1008" s="2">
        <v>28</v>
      </c>
      <c r="P1008" s="2">
        <f ca="1">ROUND((IF(I1008="",TODAY(),I1008)-H1008)/365,1)</f>
        <v>9.4</v>
      </c>
      <c r="Q1008" s="2" t="str">
        <f t="shared" si="15"/>
        <v>Low</v>
      </c>
    </row>
    <row r="1009" spans="1:17" x14ac:dyDescent="0.35">
      <c r="A1009" s="2" t="s">
        <v>2747</v>
      </c>
      <c r="B1009" s="2" t="s">
        <v>1127</v>
      </c>
      <c r="C1009" s="2" t="s">
        <v>5</v>
      </c>
      <c r="D1009" s="2" t="s">
        <v>207</v>
      </c>
      <c r="E1009" s="2" t="s">
        <v>46</v>
      </c>
      <c r="F1009" s="2">
        <v>45</v>
      </c>
      <c r="G1009" s="2" t="s">
        <v>32</v>
      </c>
      <c r="H1009" s="3" t="s">
        <v>2748</v>
      </c>
      <c r="I1009" s="2"/>
      <c r="J1009" s="2" t="s">
        <v>8</v>
      </c>
      <c r="K1009" s="2">
        <v>60027</v>
      </c>
      <c r="L1009" s="2">
        <v>1</v>
      </c>
      <c r="M1009" s="2">
        <v>3</v>
      </c>
      <c r="N1009" s="2" t="s">
        <v>8</v>
      </c>
      <c r="O1009" s="2">
        <v>35</v>
      </c>
      <c r="P1009" s="2">
        <f ca="1">ROUND((IF(I1009="",TODAY(),I1009)-H1009)/365,1)</f>
        <v>8.8000000000000007</v>
      </c>
      <c r="Q1009" s="2" t="str">
        <f t="shared" si="15"/>
        <v>Low</v>
      </c>
    </row>
    <row r="1010" spans="1:17" x14ac:dyDescent="0.35">
      <c r="A1010" s="2" t="s">
        <v>2749</v>
      </c>
      <c r="B1010" s="2" t="s">
        <v>2750</v>
      </c>
      <c r="C1010" s="2" t="s">
        <v>10</v>
      </c>
      <c r="D1010" s="2" t="s">
        <v>111</v>
      </c>
      <c r="E1010" s="2" t="s">
        <v>46</v>
      </c>
      <c r="F1010" s="2">
        <v>24</v>
      </c>
      <c r="G1010" s="2" t="s">
        <v>32</v>
      </c>
      <c r="H1010" s="3" t="s">
        <v>2751</v>
      </c>
      <c r="I1010" s="3" t="s">
        <v>2752</v>
      </c>
      <c r="J1010" s="2" t="s">
        <v>6</v>
      </c>
      <c r="K1010" s="2">
        <v>57588</v>
      </c>
      <c r="L1010" s="2">
        <v>5</v>
      </c>
      <c r="M1010" s="2">
        <v>1</v>
      </c>
      <c r="N1010" s="2" t="s">
        <v>6</v>
      </c>
      <c r="O1010" s="2">
        <v>26</v>
      </c>
      <c r="P1010" s="2">
        <f ca="1">ROUND((IF(I1010="",TODAY(),I1010)-H1010)/365,1)</f>
        <v>0.7</v>
      </c>
      <c r="Q1010" s="2" t="str">
        <f t="shared" si="15"/>
        <v>N/A</v>
      </c>
    </row>
    <row r="1011" spans="1:17" x14ac:dyDescent="0.35">
      <c r="A1011" s="2" t="s">
        <v>2753</v>
      </c>
      <c r="B1011" s="2" t="s">
        <v>1690</v>
      </c>
      <c r="C1011" s="2" t="s">
        <v>7</v>
      </c>
      <c r="D1011" s="2" t="s">
        <v>37</v>
      </c>
      <c r="E1011" s="2" t="s">
        <v>31</v>
      </c>
      <c r="F1011" s="2">
        <v>39</v>
      </c>
      <c r="G1011" s="2" t="s">
        <v>78</v>
      </c>
      <c r="H1011" s="3" t="s">
        <v>2754</v>
      </c>
      <c r="I1011" s="3" t="s">
        <v>2755</v>
      </c>
      <c r="J1011" s="2" t="s">
        <v>6</v>
      </c>
      <c r="K1011" s="2">
        <v>99588</v>
      </c>
      <c r="L1011" s="2">
        <v>2</v>
      </c>
      <c r="M1011" s="2">
        <v>5</v>
      </c>
      <c r="N1011" s="2" t="s">
        <v>8</v>
      </c>
      <c r="O1011" s="2">
        <v>34</v>
      </c>
      <c r="P1011" s="2">
        <f ca="1">ROUND((IF(I1011="",TODAY(),I1011)-H1011)/365,1)</f>
        <v>3.8</v>
      </c>
      <c r="Q1011" s="2" t="str">
        <f t="shared" si="15"/>
        <v>N/A</v>
      </c>
    </row>
    <row r="1012" spans="1:17" x14ac:dyDescent="0.35">
      <c r="A1012" s="2" t="s">
        <v>2756</v>
      </c>
      <c r="B1012" s="2" t="s">
        <v>253</v>
      </c>
      <c r="C1012" s="2" t="s">
        <v>9</v>
      </c>
      <c r="D1012" s="2" t="s">
        <v>51</v>
      </c>
      <c r="E1012" s="2" t="s">
        <v>31</v>
      </c>
      <c r="F1012" s="2">
        <v>46</v>
      </c>
      <c r="G1012" s="2" t="s">
        <v>78</v>
      </c>
      <c r="H1012" s="3" t="s">
        <v>2757</v>
      </c>
      <c r="I1012" s="2"/>
      <c r="J1012" s="2" t="s">
        <v>8</v>
      </c>
      <c r="K1012" s="2">
        <v>123207</v>
      </c>
      <c r="L1012" s="2">
        <v>3</v>
      </c>
      <c r="M1012" s="2">
        <v>1</v>
      </c>
      <c r="N1012" s="2" t="s">
        <v>8</v>
      </c>
      <c r="O1012" s="2">
        <v>41</v>
      </c>
      <c r="P1012" s="2">
        <f ca="1">ROUND((IF(I1012="",TODAY(),I1012)-H1012)/365,1)</f>
        <v>5.9</v>
      </c>
      <c r="Q1012" s="2" t="str">
        <f t="shared" si="15"/>
        <v>Medium</v>
      </c>
    </row>
    <row r="1013" spans="1:17" x14ac:dyDescent="0.35">
      <c r="A1013" s="2" t="s">
        <v>2758</v>
      </c>
      <c r="B1013" s="2" t="s">
        <v>2575</v>
      </c>
      <c r="C1013" s="2" t="s">
        <v>5</v>
      </c>
      <c r="D1013" s="2" t="s">
        <v>94</v>
      </c>
      <c r="E1013" s="2" t="s">
        <v>46</v>
      </c>
      <c r="F1013" s="2">
        <v>29</v>
      </c>
      <c r="G1013" s="2" t="s">
        <v>56</v>
      </c>
      <c r="H1013" s="3" t="s">
        <v>513</v>
      </c>
      <c r="I1013" s="2"/>
      <c r="J1013" s="2" t="s">
        <v>8</v>
      </c>
      <c r="K1013" s="2">
        <v>92376</v>
      </c>
      <c r="L1013" s="2">
        <v>3</v>
      </c>
      <c r="M1013" s="2">
        <v>3</v>
      </c>
      <c r="N1013" s="2" t="s">
        <v>6</v>
      </c>
      <c r="O1013" s="2">
        <v>40</v>
      </c>
      <c r="P1013" s="2">
        <f ca="1">ROUND((IF(I1013="",TODAY(),I1013)-H1013)/365,1)</f>
        <v>2.7</v>
      </c>
      <c r="Q1013" s="2" t="str">
        <f t="shared" si="15"/>
        <v>Medium</v>
      </c>
    </row>
    <row r="1014" spans="1:17" x14ac:dyDescent="0.35">
      <c r="A1014" s="2" t="s">
        <v>2759</v>
      </c>
      <c r="B1014" s="2" t="s">
        <v>883</v>
      </c>
      <c r="C1014" s="2" t="s">
        <v>7</v>
      </c>
      <c r="D1014" s="2" t="s">
        <v>37</v>
      </c>
      <c r="E1014" s="2" t="s">
        <v>31</v>
      </c>
      <c r="F1014" s="2">
        <v>52</v>
      </c>
      <c r="G1014" s="2" t="s">
        <v>32</v>
      </c>
      <c r="H1014" s="3" t="s">
        <v>393</v>
      </c>
      <c r="I1014" s="2"/>
      <c r="J1014" s="2" t="s">
        <v>8</v>
      </c>
      <c r="K1014" s="2">
        <v>127014</v>
      </c>
      <c r="L1014" s="2">
        <v>3</v>
      </c>
      <c r="M1014" s="2">
        <v>4</v>
      </c>
      <c r="N1014" s="2" t="s">
        <v>8</v>
      </c>
      <c r="O1014" s="2">
        <v>45</v>
      </c>
      <c r="P1014" s="2">
        <f ca="1">ROUND((IF(I1014="",TODAY(),I1014)-H1014)/365,1)</f>
        <v>9.1999999999999993</v>
      </c>
      <c r="Q1014" s="2" t="str">
        <f t="shared" si="15"/>
        <v>Low</v>
      </c>
    </row>
    <row r="1015" spans="1:17" x14ac:dyDescent="0.35">
      <c r="A1015" s="2" t="s">
        <v>2760</v>
      </c>
      <c r="B1015" s="2" t="s">
        <v>309</v>
      </c>
      <c r="C1015" s="2" t="s">
        <v>12</v>
      </c>
      <c r="D1015" s="2" t="s">
        <v>30</v>
      </c>
      <c r="E1015" s="2" t="s">
        <v>46</v>
      </c>
      <c r="F1015" s="2">
        <v>39</v>
      </c>
      <c r="G1015" s="2" t="s">
        <v>78</v>
      </c>
      <c r="H1015" s="3" t="s">
        <v>2727</v>
      </c>
      <c r="I1015" s="3" t="s">
        <v>2740</v>
      </c>
      <c r="J1015" s="2" t="s">
        <v>6</v>
      </c>
      <c r="K1015" s="2">
        <v>42008</v>
      </c>
      <c r="L1015" s="2">
        <v>4</v>
      </c>
      <c r="M1015" s="2">
        <v>1</v>
      </c>
      <c r="N1015" s="2" t="s">
        <v>8</v>
      </c>
      <c r="O1015" s="2">
        <v>43</v>
      </c>
      <c r="P1015" s="2">
        <f ca="1">ROUND((IF(I1015="",TODAY(),I1015)-H1015)/365,1)</f>
        <v>7.3</v>
      </c>
      <c r="Q1015" s="2" t="str">
        <f t="shared" si="15"/>
        <v>N/A</v>
      </c>
    </row>
    <row r="1016" spans="1:17" x14ac:dyDescent="0.35">
      <c r="A1016" s="2" t="s">
        <v>2761</v>
      </c>
      <c r="B1016" s="2" t="s">
        <v>2762</v>
      </c>
      <c r="C1016" s="2" t="s">
        <v>5</v>
      </c>
      <c r="D1016" s="2" t="s">
        <v>94</v>
      </c>
      <c r="E1016" s="2" t="s">
        <v>31</v>
      </c>
      <c r="F1016" s="2">
        <v>36</v>
      </c>
      <c r="G1016" s="2" t="s">
        <v>56</v>
      </c>
      <c r="H1016" s="3" t="s">
        <v>2763</v>
      </c>
      <c r="I1016" s="2"/>
      <c r="J1016" s="2" t="s">
        <v>8</v>
      </c>
      <c r="K1016" s="2">
        <v>80150</v>
      </c>
      <c r="L1016" s="2">
        <v>4</v>
      </c>
      <c r="M1016" s="2">
        <v>5</v>
      </c>
      <c r="N1016" s="2" t="s">
        <v>8</v>
      </c>
      <c r="O1016" s="2">
        <v>38</v>
      </c>
      <c r="P1016" s="2">
        <f ca="1">ROUND((IF(I1016="",TODAY(),I1016)-H1016)/365,1)</f>
        <v>10.9</v>
      </c>
      <c r="Q1016" s="2" t="str">
        <f t="shared" si="15"/>
        <v>Low</v>
      </c>
    </row>
    <row r="1017" spans="1:17" x14ac:dyDescent="0.35">
      <c r="A1017" s="2" t="s">
        <v>2764</v>
      </c>
      <c r="B1017" s="2" t="s">
        <v>2765</v>
      </c>
      <c r="C1017" s="2" t="s">
        <v>11</v>
      </c>
      <c r="D1017" s="2" t="s">
        <v>66</v>
      </c>
      <c r="E1017" s="2" t="s">
        <v>46</v>
      </c>
      <c r="F1017" s="2">
        <v>43</v>
      </c>
      <c r="G1017" s="2" t="s">
        <v>56</v>
      </c>
      <c r="H1017" s="3" t="s">
        <v>2766</v>
      </c>
      <c r="I1017" s="2"/>
      <c r="J1017" s="2" t="s">
        <v>8</v>
      </c>
      <c r="K1017" s="2">
        <v>136982</v>
      </c>
      <c r="L1017" s="2">
        <v>2</v>
      </c>
      <c r="M1017" s="2">
        <v>4</v>
      </c>
      <c r="N1017" s="2" t="s">
        <v>6</v>
      </c>
      <c r="O1017" s="2">
        <v>30</v>
      </c>
      <c r="P1017" s="2">
        <f ca="1">ROUND((IF(I1017="",TODAY(),I1017)-H1017)/365,1)</f>
        <v>7.8</v>
      </c>
      <c r="Q1017" s="2" t="str">
        <f t="shared" si="15"/>
        <v>Medium</v>
      </c>
    </row>
    <row r="1018" spans="1:17" x14ac:dyDescent="0.35">
      <c r="A1018" s="2" t="s">
        <v>2767</v>
      </c>
      <c r="B1018" s="2" t="s">
        <v>621</v>
      </c>
      <c r="C1018" s="2" t="s">
        <v>11</v>
      </c>
      <c r="D1018" s="2" t="s">
        <v>98</v>
      </c>
      <c r="E1018" s="2" t="s">
        <v>31</v>
      </c>
      <c r="F1018" s="2">
        <v>47</v>
      </c>
      <c r="G1018" s="2" t="s">
        <v>56</v>
      </c>
      <c r="H1018" s="3" t="s">
        <v>2768</v>
      </c>
      <c r="I1018" s="2"/>
      <c r="J1018" s="2" t="s">
        <v>8</v>
      </c>
      <c r="K1018" s="2">
        <v>88771</v>
      </c>
      <c r="L1018" s="2">
        <v>1</v>
      </c>
      <c r="M1018" s="2">
        <v>5</v>
      </c>
      <c r="N1018" s="2" t="s">
        <v>8</v>
      </c>
      <c r="O1018" s="2">
        <v>41</v>
      </c>
      <c r="P1018" s="2">
        <f ca="1">ROUND((IF(I1018="",TODAY(),I1018)-H1018)/365,1)</f>
        <v>11.2</v>
      </c>
      <c r="Q1018" s="2" t="str">
        <f t="shared" si="15"/>
        <v>Low</v>
      </c>
    </row>
    <row r="1019" spans="1:17" x14ac:dyDescent="0.35">
      <c r="A1019" s="2" t="s">
        <v>2769</v>
      </c>
      <c r="B1019" s="2" t="s">
        <v>910</v>
      </c>
      <c r="C1019" s="2" t="s">
        <v>5</v>
      </c>
      <c r="D1019" s="2" t="s">
        <v>94</v>
      </c>
      <c r="E1019" s="2" t="s">
        <v>46</v>
      </c>
      <c r="F1019" s="2">
        <v>42</v>
      </c>
      <c r="G1019" s="2" t="s">
        <v>32</v>
      </c>
      <c r="H1019" s="3" t="s">
        <v>2770</v>
      </c>
      <c r="I1019" s="2"/>
      <c r="J1019" s="2" t="s">
        <v>8</v>
      </c>
      <c r="K1019" s="2">
        <v>101668</v>
      </c>
      <c r="L1019" s="2">
        <v>2</v>
      </c>
      <c r="M1019" s="2">
        <v>1</v>
      </c>
      <c r="N1019" s="2" t="s">
        <v>8</v>
      </c>
      <c r="O1019" s="2">
        <v>40</v>
      </c>
      <c r="P1019" s="2">
        <f ca="1">ROUND((IF(I1019="",TODAY(),I1019)-H1019)/365,1)</f>
        <v>6.5</v>
      </c>
      <c r="Q1019" s="2" t="str">
        <f t="shared" si="15"/>
        <v>Medium</v>
      </c>
    </row>
    <row r="1020" spans="1:17" x14ac:dyDescent="0.35">
      <c r="A1020" s="2" t="s">
        <v>2771</v>
      </c>
      <c r="B1020" s="2" t="s">
        <v>2772</v>
      </c>
      <c r="C1020" s="2" t="s">
        <v>11</v>
      </c>
      <c r="D1020" s="2" t="s">
        <v>66</v>
      </c>
      <c r="E1020" s="2" t="s">
        <v>46</v>
      </c>
      <c r="F1020" s="2">
        <v>57</v>
      </c>
      <c r="G1020" s="2" t="s">
        <v>78</v>
      </c>
      <c r="H1020" s="3" t="s">
        <v>2773</v>
      </c>
      <c r="I1020" s="2"/>
      <c r="J1020" s="2" t="s">
        <v>8</v>
      </c>
      <c r="K1020" s="2">
        <v>42261</v>
      </c>
      <c r="L1020" s="2">
        <v>4</v>
      </c>
      <c r="M1020" s="2">
        <v>2</v>
      </c>
      <c r="N1020" s="2" t="s">
        <v>8</v>
      </c>
      <c r="O1020" s="2">
        <v>35</v>
      </c>
      <c r="P1020" s="2">
        <f ca="1">ROUND((IF(I1020="",TODAY(),I1020)-H1020)/365,1)</f>
        <v>3.3</v>
      </c>
      <c r="Q1020" s="2" t="str">
        <f t="shared" si="15"/>
        <v>Medium</v>
      </c>
    </row>
    <row r="1021" spans="1:17" x14ac:dyDescent="0.35">
      <c r="A1021" s="2" t="s">
        <v>2774</v>
      </c>
      <c r="B1021" s="2" t="s">
        <v>2775</v>
      </c>
      <c r="C1021" s="2" t="s">
        <v>5</v>
      </c>
      <c r="D1021" s="2" t="s">
        <v>94</v>
      </c>
      <c r="E1021" s="2" t="s">
        <v>46</v>
      </c>
      <c r="F1021" s="2">
        <v>29</v>
      </c>
      <c r="G1021" s="2" t="s">
        <v>78</v>
      </c>
      <c r="H1021" s="3" t="s">
        <v>1308</v>
      </c>
      <c r="I1021" s="2"/>
      <c r="J1021" s="2" t="s">
        <v>8</v>
      </c>
      <c r="K1021" s="2">
        <v>78545</v>
      </c>
      <c r="L1021" s="2">
        <v>4</v>
      </c>
      <c r="M1021" s="2">
        <v>2</v>
      </c>
      <c r="N1021" s="2" t="s">
        <v>6</v>
      </c>
      <c r="O1021" s="2">
        <v>36</v>
      </c>
      <c r="P1021" s="2">
        <f ca="1">ROUND((IF(I1021="",TODAY(),I1021)-H1021)/365,1)</f>
        <v>5.2</v>
      </c>
      <c r="Q1021" s="2" t="str">
        <f t="shared" si="15"/>
        <v>High</v>
      </c>
    </row>
    <row r="1022" spans="1:17" x14ac:dyDescent="0.35">
      <c r="A1022" s="2" t="s">
        <v>2776</v>
      </c>
      <c r="B1022" s="2" t="s">
        <v>698</v>
      </c>
      <c r="C1022" s="2" t="s">
        <v>10</v>
      </c>
      <c r="D1022" s="2" t="s">
        <v>70</v>
      </c>
      <c r="E1022" s="2" t="s">
        <v>46</v>
      </c>
      <c r="F1022" s="2">
        <v>28</v>
      </c>
      <c r="G1022" s="2" t="s">
        <v>78</v>
      </c>
      <c r="H1022" s="3" t="s">
        <v>165</v>
      </c>
      <c r="I1022" s="2"/>
      <c r="J1022" s="2" t="s">
        <v>8</v>
      </c>
      <c r="K1022" s="2">
        <v>94796</v>
      </c>
      <c r="L1022" s="2">
        <v>5</v>
      </c>
      <c r="M1022" s="2">
        <v>3</v>
      </c>
      <c r="N1022" s="2" t="s">
        <v>8</v>
      </c>
      <c r="O1022" s="2">
        <v>35</v>
      </c>
      <c r="P1022" s="2">
        <f ca="1">ROUND((IF(I1022="",TODAY(),I1022)-H1022)/365,1)</f>
        <v>4.2</v>
      </c>
      <c r="Q1022" s="2" t="str">
        <f t="shared" si="15"/>
        <v>Low</v>
      </c>
    </row>
    <row r="1023" spans="1:17" x14ac:dyDescent="0.35">
      <c r="A1023" s="2" t="s">
        <v>2777</v>
      </c>
      <c r="B1023" s="2" t="s">
        <v>2076</v>
      </c>
      <c r="C1023" s="2" t="s">
        <v>10</v>
      </c>
      <c r="D1023" s="2" t="s">
        <v>258</v>
      </c>
      <c r="E1023" s="2" t="s">
        <v>46</v>
      </c>
      <c r="F1023" s="2">
        <v>32</v>
      </c>
      <c r="G1023" s="2" t="s">
        <v>78</v>
      </c>
      <c r="H1023" s="3" t="s">
        <v>2778</v>
      </c>
      <c r="I1023" s="2"/>
      <c r="J1023" s="2" t="s">
        <v>8</v>
      </c>
      <c r="K1023" s="2">
        <v>94817</v>
      </c>
      <c r="L1023" s="2">
        <v>3</v>
      </c>
      <c r="M1023" s="2">
        <v>4</v>
      </c>
      <c r="N1023" s="2" t="s">
        <v>8</v>
      </c>
      <c r="O1023" s="2">
        <v>1</v>
      </c>
      <c r="P1023" s="2">
        <f ca="1">ROUND((IF(I1023="",TODAY(),I1023)-H1023)/365,1)</f>
        <v>1.2</v>
      </c>
      <c r="Q1023" s="2" t="str">
        <f t="shared" si="15"/>
        <v>Low</v>
      </c>
    </row>
    <row r="1024" spans="1:17" x14ac:dyDescent="0.35">
      <c r="A1024" s="2" t="s">
        <v>2779</v>
      </c>
      <c r="B1024" s="2" t="s">
        <v>161</v>
      </c>
      <c r="C1024" s="2" t="s">
        <v>12</v>
      </c>
      <c r="D1024" s="2" t="s">
        <v>30</v>
      </c>
      <c r="E1024" s="2" t="s">
        <v>31</v>
      </c>
      <c r="F1024" s="2">
        <v>48</v>
      </c>
      <c r="G1024" s="2" t="s">
        <v>56</v>
      </c>
      <c r="H1024" s="3" t="s">
        <v>2780</v>
      </c>
      <c r="I1024" s="2"/>
      <c r="J1024" s="2" t="s">
        <v>8</v>
      </c>
      <c r="K1024" s="2">
        <v>43162</v>
      </c>
      <c r="L1024" s="2">
        <v>5</v>
      </c>
      <c r="M1024" s="2">
        <v>1</v>
      </c>
      <c r="N1024" s="2" t="s">
        <v>8</v>
      </c>
      <c r="O1024" s="2">
        <v>15</v>
      </c>
      <c r="P1024" s="2">
        <f ca="1">ROUND((IF(I1024="",TODAY(),I1024)-H1024)/365,1)</f>
        <v>6.9</v>
      </c>
      <c r="Q1024" s="2" t="str">
        <f t="shared" si="15"/>
        <v>Medium</v>
      </c>
    </row>
    <row r="1025" spans="1:17" x14ac:dyDescent="0.35">
      <c r="A1025" s="2" t="s">
        <v>2781</v>
      </c>
      <c r="B1025" s="2" t="s">
        <v>841</v>
      </c>
      <c r="C1025" s="2" t="s">
        <v>5</v>
      </c>
      <c r="D1025" s="2" t="s">
        <v>102</v>
      </c>
      <c r="E1025" s="2" t="s">
        <v>46</v>
      </c>
      <c r="F1025" s="2">
        <v>37</v>
      </c>
      <c r="G1025" s="2" t="s">
        <v>56</v>
      </c>
      <c r="H1025" s="3" t="s">
        <v>1599</v>
      </c>
      <c r="I1025" s="2"/>
      <c r="J1025" s="2" t="s">
        <v>8</v>
      </c>
      <c r="K1025" s="2">
        <v>27977</v>
      </c>
      <c r="L1025" s="2">
        <v>1</v>
      </c>
      <c r="M1025" s="2">
        <v>4</v>
      </c>
      <c r="N1025" s="2" t="s">
        <v>8</v>
      </c>
      <c r="O1025" s="2">
        <v>24</v>
      </c>
      <c r="P1025" s="2">
        <f ca="1">ROUND((IF(I1025="",TODAY(),I1025)-H1025)/365,1)</f>
        <v>9.6999999999999993</v>
      </c>
      <c r="Q1025" s="2" t="str">
        <f t="shared" si="15"/>
        <v>Low</v>
      </c>
    </row>
    <row r="1026" spans="1:17" x14ac:dyDescent="0.35">
      <c r="A1026" s="2" t="s">
        <v>2782</v>
      </c>
      <c r="B1026" s="2" t="s">
        <v>1371</v>
      </c>
      <c r="C1026" s="2" t="s">
        <v>12</v>
      </c>
      <c r="D1026" s="2" t="s">
        <v>133</v>
      </c>
      <c r="E1026" s="2" t="s">
        <v>31</v>
      </c>
      <c r="F1026" s="2">
        <v>45</v>
      </c>
      <c r="G1026" s="2" t="s">
        <v>32</v>
      </c>
      <c r="H1026" s="3" t="s">
        <v>2783</v>
      </c>
      <c r="I1026" s="3" t="s">
        <v>2222</v>
      </c>
      <c r="J1026" s="2" t="s">
        <v>6</v>
      </c>
      <c r="K1026" s="2">
        <v>67300</v>
      </c>
      <c r="L1026" s="2">
        <v>4</v>
      </c>
      <c r="M1026" s="2">
        <v>2</v>
      </c>
      <c r="N1026" s="2" t="s">
        <v>8</v>
      </c>
      <c r="O1026" s="2">
        <v>13</v>
      </c>
      <c r="P1026" s="2">
        <f ca="1">ROUND((IF(I1026="",TODAY(),I1026)-H1026)/365,1)</f>
        <v>0.3</v>
      </c>
      <c r="Q1026" s="2" t="str">
        <f t="shared" ref="Q1026:Q1089" si="16">IF(J1026="No",IF(AND(M1026&lt;=2,N1026="Yes"),"High",IF(OR(M1026&lt;=2,N1026="Yes"),"Medium","Low")),"N/A")</f>
        <v>N/A</v>
      </c>
    </row>
    <row r="1027" spans="1:17" x14ac:dyDescent="0.35">
      <c r="A1027" s="2" t="s">
        <v>2784</v>
      </c>
      <c r="B1027" s="2" t="s">
        <v>2112</v>
      </c>
      <c r="C1027" s="2" t="s">
        <v>7</v>
      </c>
      <c r="D1027" s="2" t="s">
        <v>37</v>
      </c>
      <c r="E1027" s="2" t="s">
        <v>46</v>
      </c>
      <c r="F1027" s="2">
        <v>50</v>
      </c>
      <c r="G1027" s="2" t="s">
        <v>56</v>
      </c>
      <c r="H1027" s="3" t="s">
        <v>2785</v>
      </c>
      <c r="I1027" s="2"/>
      <c r="J1027" s="2" t="s">
        <v>8</v>
      </c>
      <c r="K1027" s="2">
        <v>39569</v>
      </c>
      <c r="L1027" s="2">
        <v>5</v>
      </c>
      <c r="M1027" s="2">
        <v>4</v>
      </c>
      <c r="N1027" s="2" t="s">
        <v>8</v>
      </c>
      <c r="O1027" s="2">
        <v>42</v>
      </c>
      <c r="P1027" s="2">
        <f ca="1">ROUND((IF(I1027="",TODAY(),I1027)-H1027)/365,1)</f>
        <v>8.9</v>
      </c>
      <c r="Q1027" s="2" t="str">
        <f t="shared" si="16"/>
        <v>Low</v>
      </c>
    </row>
    <row r="1028" spans="1:17" x14ac:dyDescent="0.35">
      <c r="A1028" s="2" t="s">
        <v>2786</v>
      </c>
      <c r="B1028" s="2" t="s">
        <v>1767</v>
      </c>
      <c r="C1028" s="2" t="s">
        <v>7</v>
      </c>
      <c r="D1028" s="2" t="s">
        <v>155</v>
      </c>
      <c r="E1028" s="2" t="s">
        <v>46</v>
      </c>
      <c r="F1028" s="2">
        <v>24</v>
      </c>
      <c r="G1028" s="2" t="s">
        <v>78</v>
      </c>
      <c r="H1028" s="3" t="s">
        <v>2787</v>
      </c>
      <c r="I1028" s="2"/>
      <c r="J1028" s="2" t="s">
        <v>8</v>
      </c>
      <c r="K1028" s="2">
        <v>34222</v>
      </c>
      <c r="L1028" s="2">
        <v>4</v>
      </c>
      <c r="M1028" s="2">
        <v>5</v>
      </c>
      <c r="N1028" s="2" t="s">
        <v>8</v>
      </c>
      <c r="O1028" s="2">
        <v>25</v>
      </c>
      <c r="P1028" s="2">
        <f ca="1">ROUND((IF(I1028="",TODAY(),I1028)-H1028)/365,1)</f>
        <v>4</v>
      </c>
      <c r="Q1028" s="2" t="str">
        <f t="shared" si="16"/>
        <v>Low</v>
      </c>
    </row>
    <row r="1029" spans="1:17" x14ac:dyDescent="0.35">
      <c r="A1029" s="2" t="s">
        <v>2788</v>
      </c>
      <c r="B1029" s="2" t="s">
        <v>2789</v>
      </c>
      <c r="C1029" s="2" t="s">
        <v>12</v>
      </c>
      <c r="D1029" s="2" t="s">
        <v>55</v>
      </c>
      <c r="E1029" s="2" t="s">
        <v>31</v>
      </c>
      <c r="F1029" s="2">
        <v>23</v>
      </c>
      <c r="G1029" s="2" t="s">
        <v>56</v>
      </c>
      <c r="H1029" s="3" t="s">
        <v>2604</v>
      </c>
      <c r="I1029" s="2"/>
      <c r="J1029" s="2" t="s">
        <v>8</v>
      </c>
      <c r="K1029" s="2">
        <v>133567</v>
      </c>
      <c r="L1029" s="2">
        <v>3</v>
      </c>
      <c r="M1029" s="2">
        <v>1</v>
      </c>
      <c r="N1029" s="2" t="s">
        <v>8</v>
      </c>
      <c r="O1029" s="2">
        <v>26</v>
      </c>
      <c r="P1029" s="2">
        <f ca="1">ROUND((IF(I1029="",TODAY(),I1029)-H1029)/365,1)</f>
        <v>6.7</v>
      </c>
      <c r="Q1029" s="2" t="str">
        <f t="shared" si="16"/>
        <v>Medium</v>
      </c>
    </row>
    <row r="1030" spans="1:17" x14ac:dyDescent="0.35">
      <c r="A1030" s="2" t="s">
        <v>2790</v>
      </c>
      <c r="B1030" s="2" t="s">
        <v>2791</v>
      </c>
      <c r="C1030" s="2" t="s">
        <v>9</v>
      </c>
      <c r="D1030" s="2" t="s">
        <v>41</v>
      </c>
      <c r="E1030" s="2" t="s">
        <v>46</v>
      </c>
      <c r="F1030" s="2">
        <v>28</v>
      </c>
      <c r="G1030" s="2" t="s">
        <v>78</v>
      </c>
      <c r="H1030" s="3" t="s">
        <v>708</v>
      </c>
      <c r="I1030" s="2"/>
      <c r="J1030" s="2" t="s">
        <v>8</v>
      </c>
      <c r="K1030" s="2">
        <v>73033</v>
      </c>
      <c r="L1030" s="2">
        <v>1</v>
      </c>
      <c r="M1030" s="2">
        <v>5</v>
      </c>
      <c r="N1030" s="2" t="s">
        <v>8</v>
      </c>
      <c r="O1030" s="2">
        <v>11</v>
      </c>
      <c r="P1030" s="2">
        <f ca="1">ROUND((IF(I1030="",TODAY(),I1030)-H1030)/365,1)</f>
        <v>10</v>
      </c>
      <c r="Q1030" s="2" t="str">
        <f t="shared" si="16"/>
        <v>Low</v>
      </c>
    </row>
    <row r="1031" spans="1:17" x14ac:dyDescent="0.35">
      <c r="A1031" s="2" t="s">
        <v>2792</v>
      </c>
      <c r="B1031" s="2" t="s">
        <v>2390</v>
      </c>
      <c r="C1031" s="2" t="s">
        <v>7</v>
      </c>
      <c r="D1031" s="2" t="s">
        <v>155</v>
      </c>
      <c r="E1031" s="2" t="s">
        <v>46</v>
      </c>
      <c r="F1031" s="2">
        <v>28</v>
      </c>
      <c r="G1031" s="2" t="s">
        <v>32</v>
      </c>
      <c r="H1031" s="3" t="s">
        <v>663</v>
      </c>
      <c r="I1031" s="2"/>
      <c r="J1031" s="2" t="s">
        <v>8</v>
      </c>
      <c r="K1031" s="2">
        <v>123632</v>
      </c>
      <c r="L1031" s="2">
        <v>4</v>
      </c>
      <c r="M1031" s="2">
        <v>1</v>
      </c>
      <c r="N1031" s="2" t="s">
        <v>8</v>
      </c>
      <c r="O1031" s="2">
        <v>32</v>
      </c>
      <c r="P1031" s="2">
        <f ca="1">ROUND((IF(I1031="",TODAY(),I1031)-H1031)/365,1)</f>
        <v>7.9</v>
      </c>
      <c r="Q1031" s="2" t="str">
        <f t="shared" si="16"/>
        <v>Medium</v>
      </c>
    </row>
    <row r="1032" spans="1:17" x14ac:dyDescent="0.35">
      <c r="A1032" s="2" t="s">
        <v>2793</v>
      </c>
      <c r="B1032" s="2" t="s">
        <v>850</v>
      </c>
      <c r="C1032" s="2" t="s">
        <v>9</v>
      </c>
      <c r="D1032" s="2" t="s">
        <v>41</v>
      </c>
      <c r="E1032" s="2" t="s">
        <v>46</v>
      </c>
      <c r="F1032" s="2">
        <v>38</v>
      </c>
      <c r="G1032" s="2" t="s">
        <v>78</v>
      </c>
      <c r="H1032" s="3" t="s">
        <v>1916</v>
      </c>
      <c r="I1032" s="3" t="s">
        <v>2794</v>
      </c>
      <c r="J1032" s="2" t="s">
        <v>6</v>
      </c>
      <c r="K1032" s="2">
        <v>93390</v>
      </c>
      <c r="L1032" s="2">
        <v>2</v>
      </c>
      <c r="M1032" s="2">
        <v>1</v>
      </c>
      <c r="N1032" s="2" t="s">
        <v>6</v>
      </c>
      <c r="O1032" s="2">
        <v>10</v>
      </c>
      <c r="P1032" s="2">
        <f ca="1">ROUND((IF(I1032="",TODAY(),I1032)-H1032)/365,1)</f>
        <v>5.0999999999999996</v>
      </c>
      <c r="Q1032" s="2" t="str">
        <f t="shared" si="16"/>
        <v>N/A</v>
      </c>
    </row>
    <row r="1033" spans="1:17" x14ac:dyDescent="0.35">
      <c r="A1033" s="2" t="s">
        <v>2795</v>
      </c>
      <c r="B1033" s="2" t="s">
        <v>910</v>
      </c>
      <c r="C1033" s="2" t="s">
        <v>9</v>
      </c>
      <c r="D1033" s="2" t="s">
        <v>77</v>
      </c>
      <c r="E1033" s="2" t="s">
        <v>46</v>
      </c>
      <c r="F1033" s="2">
        <v>32</v>
      </c>
      <c r="G1033" s="2" t="s">
        <v>32</v>
      </c>
      <c r="H1033" s="3" t="s">
        <v>2796</v>
      </c>
      <c r="I1033" s="2"/>
      <c r="J1033" s="2" t="s">
        <v>8</v>
      </c>
      <c r="K1033" s="2">
        <v>63650</v>
      </c>
      <c r="L1033" s="2">
        <v>4</v>
      </c>
      <c r="M1033" s="2">
        <v>4</v>
      </c>
      <c r="N1033" s="2" t="s">
        <v>8</v>
      </c>
      <c r="O1033" s="2">
        <v>44</v>
      </c>
      <c r="P1033" s="2">
        <f ca="1">ROUND((IF(I1033="",TODAY(),I1033)-H1033)/365,1)</f>
        <v>5.2</v>
      </c>
      <c r="Q1033" s="2" t="str">
        <f t="shared" si="16"/>
        <v>Low</v>
      </c>
    </row>
    <row r="1034" spans="1:17" x14ac:dyDescent="0.35">
      <c r="A1034" s="2" t="s">
        <v>2797</v>
      </c>
      <c r="B1034" s="2" t="s">
        <v>1314</v>
      </c>
      <c r="C1034" s="2" t="s">
        <v>12</v>
      </c>
      <c r="D1034" s="2" t="s">
        <v>30</v>
      </c>
      <c r="E1034" s="2" t="s">
        <v>31</v>
      </c>
      <c r="F1034" s="2">
        <v>46</v>
      </c>
      <c r="G1034" s="2" t="s">
        <v>32</v>
      </c>
      <c r="H1034" s="3" t="s">
        <v>2798</v>
      </c>
      <c r="I1034" s="2"/>
      <c r="J1034" s="2" t="s">
        <v>8</v>
      </c>
      <c r="K1034" s="2">
        <v>64709</v>
      </c>
      <c r="L1034" s="2">
        <v>2</v>
      </c>
      <c r="M1034" s="2">
        <v>1</v>
      </c>
      <c r="N1034" s="2" t="s">
        <v>8</v>
      </c>
      <c r="O1034" s="2">
        <v>38</v>
      </c>
      <c r="P1034" s="2">
        <f ca="1">ROUND((IF(I1034="",TODAY(),I1034)-H1034)/365,1)</f>
        <v>8.6999999999999993</v>
      </c>
      <c r="Q1034" s="2" t="str">
        <f t="shared" si="16"/>
        <v>Medium</v>
      </c>
    </row>
    <row r="1035" spans="1:17" x14ac:dyDescent="0.35">
      <c r="A1035" s="2" t="s">
        <v>2799</v>
      </c>
      <c r="B1035" s="2" t="s">
        <v>548</v>
      </c>
      <c r="C1035" s="2" t="s">
        <v>9</v>
      </c>
      <c r="D1035" s="2" t="s">
        <v>41</v>
      </c>
      <c r="E1035" s="2" t="s">
        <v>46</v>
      </c>
      <c r="F1035" s="2">
        <v>32</v>
      </c>
      <c r="G1035" s="2" t="s">
        <v>78</v>
      </c>
      <c r="H1035" s="3" t="s">
        <v>875</v>
      </c>
      <c r="I1035" s="2"/>
      <c r="J1035" s="2" t="s">
        <v>8</v>
      </c>
      <c r="K1035" s="2">
        <v>93594</v>
      </c>
      <c r="L1035" s="2">
        <v>5</v>
      </c>
      <c r="M1035" s="2">
        <v>5</v>
      </c>
      <c r="N1035" s="2" t="s">
        <v>8</v>
      </c>
      <c r="O1035" s="2">
        <v>21</v>
      </c>
      <c r="P1035" s="2">
        <f ca="1">ROUND((IF(I1035="",TODAY(),I1035)-H1035)/365,1)</f>
        <v>7.8</v>
      </c>
      <c r="Q1035" s="2" t="str">
        <f t="shared" si="16"/>
        <v>Low</v>
      </c>
    </row>
    <row r="1036" spans="1:17" x14ac:dyDescent="0.35">
      <c r="A1036" s="2" t="s">
        <v>2800</v>
      </c>
      <c r="B1036" s="2" t="s">
        <v>173</v>
      </c>
      <c r="C1036" s="2" t="s">
        <v>10</v>
      </c>
      <c r="D1036" s="2" t="s">
        <v>70</v>
      </c>
      <c r="E1036" s="2" t="s">
        <v>31</v>
      </c>
      <c r="F1036" s="2">
        <v>33</v>
      </c>
      <c r="G1036" s="2" t="s">
        <v>78</v>
      </c>
      <c r="H1036" s="3" t="s">
        <v>2382</v>
      </c>
      <c r="I1036" s="3" t="s">
        <v>1820</v>
      </c>
      <c r="J1036" s="2" t="s">
        <v>6</v>
      </c>
      <c r="K1036" s="2">
        <v>54468</v>
      </c>
      <c r="L1036" s="2">
        <v>1</v>
      </c>
      <c r="M1036" s="2">
        <v>1</v>
      </c>
      <c r="N1036" s="2" t="s">
        <v>8</v>
      </c>
      <c r="O1036" s="2">
        <v>22</v>
      </c>
      <c r="P1036" s="2">
        <f ca="1">ROUND((IF(I1036="",TODAY(),I1036)-H1036)/365,1)</f>
        <v>1.8</v>
      </c>
      <c r="Q1036" s="2" t="str">
        <f t="shared" si="16"/>
        <v>N/A</v>
      </c>
    </row>
    <row r="1037" spans="1:17" x14ac:dyDescent="0.35">
      <c r="A1037" s="2" t="s">
        <v>2801</v>
      </c>
      <c r="B1037" s="2" t="s">
        <v>2802</v>
      </c>
      <c r="C1037" s="2" t="s">
        <v>9</v>
      </c>
      <c r="D1037" s="2" t="s">
        <v>77</v>
      </c>
      <c r="E1037" s="2" t="s">
        <v>31</v>
      </c>
      <c r="F1037" s="2">
        <v>53</v>
      </c>
      <c r="G1037" s="2" t="s">
        <v>32</v>
      </c>
      <c r="H1037" s="3" t="s">
        <v>2803</v>
      </c>
      <c r="I1037" s="2"/>
      <c r="J1037" s="2" t="s">
        <v>8</v>
      </c>
      <c r="K1037" s="2">
        <v>122173</v>
      </c>
      <c r="L1037" s="2">
        <v>5</v>
      </c>
      <c r="M1037" s="2">
        <v>1</v>
      </c>
      <c r="N1037" s="2" t="s">
        <v>8</v>
      </c>
      <c r="O1037" s="2">
        <v>15</v>
      </c>
      <c r="P1037" s="2">
        <f ca="1">ROUND((IF(I1037="",TODAY(),I1037)-H1037)/365,1)</f>
        <v>6.5</v>
      </c>
      <c r="Q1037" s="2" t="str">
        <f t="shared" si="16"/>
        <v>Medium</v>
      </c>
    </row>
    <row r="1038" spans="1:17" x14ac:dyDescent="0.35">
      <c r="A1038" s="2" t="s">
        <v>2804</v>
      </c>
      <c r="B1038" s="2" t="s">
        <v>1026</v>
      </c>
      <c r="C1038" s="2" t="s">
        <v>5</v>
      </c>
      <c r="D1038" s="2" t="s">
        <v>207</v>
      </c>
      <c r="E1038" s="2" t="s">
        <v>31</v>
      </c>
      <c r="F1038" s="2">
        <v>26</v>
      </c>
      <c r="G1038" s="2" t="s">
        <v>32</v>
      </c>
      <c r="H1038" s="3" t="s">
        <v>832</v>
      </c>
      <c r="I1038" s="2"/>
      <c r="J1038" s="2" t="s">
        <v>8</v>
      </c>
      <c r="K1038" s="2">
        <v>129584</v>
      </c>
      <c r="L1038" s="2">
        <v>5</v>
      </c>
      <c r="M1038" s="2">
        <v>5</v>
      </c>
      <c r="N1038" s="2" t="s">
        <v>8</v>
      </c>
      <c r="O1038" s="2">
        <v>6</v>
      </c>
      <c r="P1038" s="2">
        <f ca="1">ROUND((IF(I1038="",TODAY(),I1038)-H1038)/365,1)</f>
        <v>8.6</v>
      </c>
      <c r="Q1038" s="2" t="str">
        <f t="shared" si="16"/>
        <v>Low</v>
      </c>
    </row>
    <row r="1039" spans="1:17" x14ac:dyDescent="0.35">
      <c r="A1039" s="2" t="s">
        <v>2805</v>
      </c>
      <c r="B1039" s="2" t="s">
        <v>151</v>
      </c>
      <c r="C1039" s="2" t="s">
        <v>11</v>
      </c>
      <c r="D1039" s="2" t="s">
        <v>45</v>
      </c>
      <c r="E1039" s="2" t="s">
        <v>31</v>
      </c>
      <c r="F1039" s="2">
        <v>37</v>
      </c>
      <c r="G1039" s="2" t="s">
        <v>78</v>
      </c>
      <c r="H1039" s="3" t="s">
        <v>2806</v>
      </c>
      <c r="I1039" s="2"/>
      <c r="J1039" s="2" t="s">
        <v>8</v>
      </c>
      <c r="K1039" s="2">
        <v>104840</v>
      </c>
      <c r="L1039" s="2">
        <v>2</v>
      </c>
      <c r="M1039" s="2">
        <v>4</v>
      </c>
      <c r="N1039" s="2" t="s">
        <v>8</v>
      </c>
      <c r="O1039" s="2">
        <v>3</v>
      </c>
      <c r="P1039" s="2">
        <f ca="1">ROUND((IF(I1039="",TODAY(),I1039)-H1039)/365,1)</f>
        <v>9</v>
      </c>
      <c r="Q1039" s="2" t="str">
        <f t="shared" si="16"/>
        <v>Low</v>
      </c>
    </row>
    <row r="1040" spans="1:17" x14ac:dyDescent="0.35">
      <c r="A1040" s="2" t="s">
        <v>2807</v>
      </c>
      <c r="B1040" s="2" t="s">
        <v>2595</v>
      </c>
      <c r="C1040" s="2" t="s">
        <v>5</v>
      </c>
      <c r="D1040" s="2" t="s">
        <v>102</v>
      </c>
      <c r="E1040" s="2" t="s">
        <v>31</v>
      </c>
      <c r="F1040" s="2">
        <v>55</v>
      </c>
      <c r="G1040" s="2" t="s">
        <v>56</v>
      </c>
      <c r="H1040" s="3" t="s">
        <v>2808</v>
      </c>
      <c r="I1040" s="2"/>
      <c r="J1040" s="2" t="s">
        <v>8</v>
      </c>
      <c r="K1040" s="2">
        <v>124834</v>
      </c>
      <c r="L1040" s="2">
        <v>2</v>
      </c>
      <c r="M1040" s="2">
        <v>2</v>
      </c>
      <c r="N1040" s="2" t="s">
        <v>6</v>
      </c>
      <c r="O1040" s="2">
        <v>38</v>
      </c>
      <c r="P1040" s="2">
        <f ca="1">ROUND((IF(I1040="",TODAY(),I1040)-H1040)/365,1)</f>
        <v>8.1999999999999993</v>
      </c>
      <c r="Q1040" s="2" t="str">
        <f t="shared" si="16"/>
        <v>High</v>
      </c>
    </row>
    <row r="1041" spans="1:17" x14ac:dyDescent="0.35">
      <c r="A1041" s="2" t="s">
        <v>2809</v>
      </c>
      <c r="B1041" s="2" t="s">
        <v>2810</v>
      </c>
      <c r="C1041" s="2" t="s">
        <v>5</v>
      </c>
      <c r="D1041" s="2" t="s">
        <v>102</v>
      </c>
      <c r="E1041" s="2" t="s">
        <v>31</v>
      </c>
      <c r="F1041" s="2">
        <v>34</v>
      </c>
      <c r="G1041" s="2" t="s">
        <v>56</v>
      </c>
      <c r="H1041" s="3" t="s">
        <v>2811</v>
      </c>
      <c r="I1041" s="2"/>
      <c r="J1041" s="2" t="s">
        <v>8</v>
      </c>
      <c r="K1041" s="2">
        <v>38090</v>
      </c>
      <c r="L1041" s="2">
        <v>4</v>
      </c>
      <c r="M1041" s="2">
        <v>1</v>
      </c>
      <c r="N1041" s="2" t="s">
        <v>6</v>
      </c>
      <c r="O1041" s="2">
        <v>13</v>
      </c>
      <c r="P1041" s="2">
        <f ca="1">ROUND((IF(I1041="",TODAY(),I1041)-H1041)/365,1)</f>
        <v>6.2</v>
      </c>
      <c r="Q1041" s="2" t="str">
        <f t="shared" si="16"/>
        <v>High</v>
      </c>
    </row>
    <row r="1042" spans="1:17" x14ac:dyDescent="0.35">
      <c r="A1042" s="2" t="s">
        <v>2812</v>
      </c>
      <c r="B1042" s="2" t="s">
        <v>2813</v>
      </c>
      <c r="C1042" s="2" t="s">
        <v>11</v>
      </c>
      <c r="D1042" s="2" t="s">
        <v>66</v>
      </c>
      <c r="E1042" s="2" t="s">
        <v>46</v>
      </c>
      <c r="F1042" s="2">
        <v>49</v>
      </c>
      <c r="G1042" s="2" t="s">
        <v>56</v>
      </c>
      <c r="H1042" s="3" t="s">
        <v>2814</v>
      </c>
      <c r="I1042" s="2"/>
      <c r="J1042" s="2" t="s">
        <v>8</v>
      </c>
      <c r="K1042" s="2">
        <v>130613</v>
      </c>
      <c r="L1042" s="2">
        <v>2</v>
      </c>
      <c r="M1042" s="2">
        <v>4</v>
      </c>
      <c r="N1042" s="2" t="s">
        <v>8</v>
      </c>
      <c r="O1042" s="2">
        <v>38</v>
      </c>
      <c r="P1042" s="2">
        <f ca="1">ROUND((IF(I1042="",TODAY(),I1042)-H1042)/365,1)</f>
        <v>1.9</v>
      </c>
      <c r="Q1042" s="2" t="str">
        <f t="shared" si="16"/>
        <v>Low</v>
      </c>
    </row>
    <row r="1043" spans="1:17" x14ac:dyDescent="0.35">
      <c r="A1043" s="2" t="s">
        <v>2815</v>
      </c>
      <c r="B1043" s="2" t="s">
        <v>713</v>
      </c>
      <c r="C1043" s="2" t="s">
        <v>10</v>
      </c>
      <c r="D1043" s="2" t="s">
        <v>111</v>
      </c>
      <c r="E1043" s="2" t="s">
        <v>46</v>
      </c>
      <c r="F1043" s="2">
        <v>39</v>
      </c>
      <c r="G1043" s="2" t="s">
        <v>78</v>
      </c>
      <c r="H1043" s="3" t="s">
        <v>2816</v>
      </c>
      <c r="I1043" s="2"/>
      <c r="J1043" s="2" t="s">
        <v>8</v>
      </c>
      <c r="K1043" s="2">
        <v>92397</v>
      </c>
      <c r="L1043" s="2">
        <v>5</v>
      </c>
      <c r="M1043" s="2">
        <v>3</v>
      </c>
      <c r="N1043" s="2" t="s">
        <v>8</v>
      </c>
      <c r="O1043" s="2">
        <v>31</v>
      </c>
      <c r="P1043" s="2">
        <f ca="1">ROUND((IF(I1043="",TODAY(),I1043)-H1043)/365,1)</f>
        <v>6.1</v>
      </c>
      <c r="Q1043" s="2" t="str">
        <f t="shared" si="16"/>
        <v>Low</v>
      </c>
    </row>
    <row r="1044" spans="1:17" x14ac:dyDescent="0.35">
      <c r="A1044" s="2" t="s">
        <v>2817</v>
      </c>
      <c r="B1044" s="2" t="s">
        <v>2818</v>
      </c>
      <c r="C1044" s="2" t="s">
        <v>9</v>
      </c>
      <c r="D1044" s="2" t="s">
        <v>41</v>
      </c>
      <c r="E1044" s="2" t="s">
        <v>31</v>
      </c>
      <c r="F1044" s="2">
        <v>57</v>
      </c>
      <c r="G1044" s="2" t="s">
        <v>32</v>
      </c>
      <c r="H1044" s="3" t="s">
        <v>2819</v>
      </c>
      <c r="I1044" s="2"/>
      <c r="J1044" s="2" t="s">
        <v>8</v>
      </c>
      <c r="K1044" s="2">
        <v>88908</v>
      </c>
      <c r="L1044" s="2">
        <v>1</v>
      </c>
      <c r="M1044" s="2">
        <v>4</v>
      </c>
      <c r="N1044" s="2" t="s">
        <v>6</v>
      </c>
      <c r="O1044" s="2">
        <v>12</v>
      </c>
      <c r="P1044" s="2">
        <f ca="1">ROUND((IF(I1044="",TODAY(),I1044)-H1044)/365,1)</f>
        <v>6</v>
      </c>
      <c r="Q1044" s="2" t="str">
        <f t="shared" si="16"/>
        <v>Medium</v>
      </c>
    </row>
    <row r="1045" spans="1:17" x14ac:dyDescent="0.35">
      <c r="A1045" s="2" t="s">
        <v>2820</v>
      </c>
      <c r="B1045" s="2" t="s">
        <v>1551</v>
      </c>
      <c r="C1045" s="2" t="s">
        <v>11</v>
      </c>
      <c r="D1045" s="2" t="s">
        <v>66</v>
      </c>
      <c r="E1045" s="2" t="s">
        <v>46</v>
      </c>
      <c r="F1045" s="2">
        <v>26</v>
      </c>
      <c r="G1045" s="2" t="s">
        <v>56</v>
      </c>
      <c r="H1045" s="3" t="s">
        <v>2821</v>
      </c>
      <c r="I1045" s="2"/>
      <c r="J1045" s="2" t="s">
        <v>8</v>
      </c>
      <c r="K1045" s="2">
        <v>69883</v>
      </c>
      <c r="L1045" s="2">
        <v>1</v>
      </c>
      <c r="M1045" s="2">
        <v>3</v>
      </c>
      <c r="N1045" s="2" t="s">
        <v>8</v>
      </c>
      <c r="O1045" s="2">
        <v>29</v>
      </c>
      <c r="P1045" s="2">
        <f ca="1">ROUND((IF(I1045="",TODAY(),I1045)-H1045)/365,1)</f>
        <v>3.1</v>
      </c>
      <c r="Q1045" s="2" t="str">
        <f t="shared" si="16"/>
        <v>Low</v>
      </c>
    </row>
    <row r="1046" spans="1:17" x14ac:dyDescent="0.35">
      <c r="A1046" s="2" t="s">
        <v>2822</v>
      </c>
      <c r="B1046" s="2" t="s">
        <v>2490</v>
      </c>
      <c r="C1046" s="2" t="s">
        <v>7</v>
      </c>
      <c r="D1046" s="2" t="s">
        <v>155</v>
      </c>
      <c r="E1046" s="2" t="s">
        <v>31</v>
      </c>
      <c r="F1046" s="2">
        <v>41</v>
      </c>
      <c r="G1046" s="2" t="s">
        <v>78</v>
      </c>
      <c r="H1046" s="3" t="s">
        <v>1133</v>
      </c>
      <c r="I1046" s="2"/>
      <c r="J1046" s="2" t="s">
        <v>8</v>
      </c>
      <c r="K1046" s="2">
        <v>114751</v>
      </c>
      <c r="L1046" s="2">
        <v>4</v>
      </c>
      <c r="M1046" s="2">
        <v>5</v>
      </c>
      <c r="N1046" s="2" t="s">
        <v>6</v>
      </c>
      <c r="O1046" s="2">
        <v>7</v>
      </c>
      <c r="P1046" s="2">
        <f ca="1">ROUND((IF(I1046="",TODAY(),I1046)-H1046)/365,1)</f>
        <v>6</v>
      </c>
      <c r="Q1046" s="2" t="str">
        <f t="shared" si="16"/>
        <v>Medium</v>
      </c>
    </row>
    <row r="1047" spans="1:17" x14ac:dyDescent="0.35">
      <c r="A1047" s="2" t="s">
        <v>2823</v>
      </c>
      <c r="B1047" s="2" t="s">
        <v>1702</v>
      </c>
      <c r="C1047" s="2" t="s">
        <v>7</v>
      </c>
      <c r="D1047" s="2" t="s">
        <v>37</v>
      </c>
      <c r="E1047" s="2" t="s">
        <v>31</v>
      </c>
      <c r="F1047" s="2">
        <v>34</v>
      </c>
      <c r="G1047" s="2" t="s">
        <v>32</v>
      </c>
      <c r="H1047" s="3" t="s">
        <v>2824</v>
      </c>
      <c r="I1047" s="3" t="s">
        <v>2825</v>
      </c>
      <c r="J1047" s="2" t="s">
        <v>6</v>
      </c>
      <c r="K1047" s="2">
        <v>111847</v>
      </c>
      <c r="L1047" s="2">
        <v>2</v>
      </c>
      <c r="M1047" s="2">
        <v>2</v>
      </c>
      <c r="N1047" s="2" t="s">
        <v>8</v>
      </c>
      <c r="O1047" s="2">
        <v>40</v>
      </c>
      <c r="P1047" s="2">
        <f ca="1">ROUND((IF(I1047="",TODAY(),I1047)-H1047)/365,1)</f>
        <v>2.8</v>
      </c>
      <c r="Q1047" s="2" t="str">
        <f t="shared" si="16"/>
        <v>N/A</v>
      </c>
    </row>
    <row r="1048" spans="1:17" x14ac:dyDescent="0.35">
      <c r="A1048" s="2" t="s">
        <v>2826</v>
      </c>
      <c r="B1048" s="2" t="s">
        <v>1949</v>
      </c>
      <c r="C1048" s="2" t="s">
        <v>12</v>
      </c>
      <c r="D1048" s="2" t="s">
        <v>55</v>
      </c>
      <c r="E1048" s="2" t="s">
        <v>46</v>
      </c>
      <c r="F1048" s="2">
        <v>38</v>
      </c>
      <c r="G1048" s="2" t="s">
        <v>78</v>
      </c>
      <c r="H1048" s="3" t="s">
        <v>2827</v>
      </c>
      <c r="I1048" s="2"/>
      <c r="J1048" s="2" t="s">
        <v>8</v>
      </c>
      <c r="K1048" s="2">
        <v>65138</v>
      </c>
      <c r="L1048" s="2">
        <v>3</v>
      </c>
      <c r="M1048" s="2">
        <v>3</v>
      </c>
      <c r="N1048" s="2" t="s">
        <v>8</v>
      </c>
      <c r="O1048" s="2">
        <v>10</v>
      </c>
      <c r="P1048" s="2">
        <f ca="1">ROUND((IF(I1048="",TODAY(),I1048)-H1048)/365,1)</f>
        <v>6.3</v>
      </c>
      <c r="Q1048" s="2" t="str">
        <f t="shared" si="16"/>
        <v>Low</v>
      </c>
    </row>
    <row r="1049" spans="1:17" x14ac:dyDescent="0.35">
      <c r="A1049" s="2" t="s">
        <v>2828</v>
      </c>
      <c r="B1049" s="2" t="s">
        <v>1671</v>
      </c>
      <c r="C1049" s="2" t="s">
        <v>12</v>
      </c>
      <c r="D1049" s="2" t="s">
        <v>133</v>
      </c>
      <c r="E1049" s="2" t="s">
        <v>46</v>
      </c>
      <c r="F1049" s="2">
        <v>58</v>
      </c>
      <c r="G1049" s="2" t="s">
        <v>78</v>
      </c>
      <c r="H1049" s="3" t="s">
        <v>2829</v>
      </c>
      <c r="I1049" s="2"/>
      <c r="J1049" s="2" t="s">
        <v>8</v>
      </c>
      <c r="K1049" s="2">
        <v>78580</v>
      </c>
      <c r="L1049" s="2">
        <v>4</v>
      </c>
      <c r="M1049" s="2">
        <v>1</v>
      </c>
      <c r="N1049" s="2" t="s">
        <v>8</v>
      </c>
      <c r="O1049" s="2">
        <v>4</v>
      </c>
      <c r="P1049" s="2">
        <f ca="1">ROUND((IF(I1049="",TODAY(),I1049)-H1049)/365,1)</f>
        <v>7.2</v>
      </c>
      <c r="Q1049" s="2" t="str">
        <f t="shared" si="16"/>
        <v>Medium</v>
      </c>
    </row>
    <row r="1050" spans="1:17" x14ac:dyDescent="0.35">
      <c r="A1050" s="2" t="s">
        <v>2830</v>
      </c>
      <c r="B1050" s="2" t="s">
        <v>2831</v>
      </c>
      <c r="C1050" s="2" t="s">
        <v>7</v>
      </c>
      <c r="D1050" s="2" t="s">
        <v>125</v>
      </c>
      <c r="E1050" s="2" t="s">
        <v>46</v>
      </c>
      <c r="F1050" s="2">
        <v>35</v>
      </c>
      <c r="G1050" s="2" t="s">
        <v>78</v>
      </c>
      <c r="H1050" s="3" t="s">
        <v>1686</v>
      </c>
      <c r="I1050" s="2"/>
      <c r="J1050" s="2" t="s">
        <v>8</v>
      </c>
      <c r="K1050" s="2">
        <v>67184</v>
      </c>
      <c r="L1050" s="2">
        <v>3</v>
      </c>
      <c r="M1050" s="2">
        <v>3</v>
      </c>
      <c r="N1050" s="2" t="s">
        <v>8</v>
      </c>
      <c r="O1050" s="2">
        <v>2</v>
      </c>
      <c r="P1050" s="2">
        <f ca="1">ROUND((IF(I1050="",TODAY(),I1050)-H1050)/365,1)</f>
        <v>4.2</v>
      </c>
      <c r="Q1050" s="2" t="str">
        <f t="shared" si="16"/>
        <v>Low</v>
      </c>
    </row>
    <row r="1051" spans="1:17" x14ac:dyDescent="0.35">
      <c r="A1051" s="2" t="s">
        <v>2832</v>
      </c>
      <c r="B1051" s="2" t="s">
        <v>2833</v>
      </c>
      <c r="C1051" s="2" t="s">
        <v>9</v>
      </c>
      <c r="D1051" s="2" t="s">
        <v>77</v>
      </c>
      <c r="E1051" s="2" t="s">
        <v>31</v>
      </c>
      <c r="F1051" s="2">
        <v>54</v>
      </c>
      <c r="G1051" s="2" t="s">
        <v>78</v>
      </c>
      <c r="H1051" s="3" t="s">
        <v>2834</v>
      </c>
      <c r="I1051" s="2"/>
      <c r="J1051" s="2" t="s">
        <v>8</v>
      </c>
      <c r="K1051" s="2">
        <v>46026</v>
      </c>
      <c r="L1051" s="2">
        <v>1</v>
      </c>
      <c r="M1051" s="2">
        <v>1</v>
      </c>
      <c r="N1051" s="2" t="s">
        <v>8</v>
      </c>
      <c r="O1051" s="2">
        <v>16</v>
      </c>
      <c r="P1051" s="2">
        <f ca="1">ROUND((IF(I1051="",TODAY(),I1051)-H1051)/365,1)</f>
        <v>6.7</v>
      </c>
      <c r="Q1051" s="2" t="str">
        <f t="shared" si="16"/>
        <v>Medium</v>
      </c>
    </row>
    <row r="1052" spans="1:17" x14ac:dyDescent="0.35">
      <c r="A1052" s="2" t="s">
        <v>2835</v>
      </c>
      <c r="B1052" s="2" t="s">
        <v>461</v>
      </c>
      <c r="C1052" s="2" t="s">
        <v>12</v>
      </c>
      <c r="D1052" s="2" t="s">
        <v>55</v>
      </c>
      <c r="E1052" s="2" t="s">
        <v>46</v>
      </c>
      <c r="F1052" s="2">
        <v>53</v>
      </c>
      <c r="G1052" s="2" t="s">
        <v>32</v>
      </c>
      <c r="H1052" s="3" t="s">
        <v>860</v>
      </c>
      <c r="I1052" s="3" t="s">
        <v>2836</v>
      </c>
      <c r="J1052" s="2" t="s">
        <v>6</v>
      </c>
      <c r="K1052" s="2">
        <v>32774</v>
      </c>
      <c r="L1052" s="2">
        <v>5</v>
      </c>
      <c r="M1052" s="2">
        <v>5</v>
      </c>
      <c r="N1052" s="2" t="s">
        <v>6</v>
      </c>
      <c r="O1052" s="2">
        <v>25</v>
      </c>
      <c r="P1052" s="2">
        <f ca="1">ROUND((IF(I1052="",TODAY(),I1052)-H1052)/365,1)</f>
        <v>4</v>
      </c>
      <c r="Q1052" s="2" t="str">
        <f t="shared" si="16"/>
        <v>N/A</v>
      </c>
    </row>
    <row r="1053" spans="1:17" x14ac:dyDescent="0.35">
      <c r="A1053" s="2" t="s">
        <v>2837</v>
      </c>
      <c r="B1053" s="2" t="s">
        <v>1596</v>
      </c>
      <c r="C1053" s="2" t="s">
        <v>9</v>
      </c>
      <c r="D1053" s="2" t="s">
        <v>77</v>
      </c>
      <c r="E1053" s="2" t="s">
        <v>46</v>
      </c>
      <c r="F1053" s="2">
        <v>29</v>
      </c>
      <c r="G1053" s="2" t="s">
        <v>32</v>
      </c>
      <c r="H1053" s="3" t="s">
        <v>830</v>
      </c>
      <c r="I1053" s="2"/>
      <c r="J1053" s="2" t="s">
        <v>8</v>
      </c>
      <c r="K1053" s="2">
        <v>133044</v>
      </c>
      <c r="L1053" s="2">
        <v>3</v>
      </c>
      <c r="M1053" s="2">
        <v>1</v>
      </c>
      <c r="N1053" s="2" t="s">
        <v>6</v>
      </c>
      <c r="O1053" s="2">
        <v>27</v>
      </c>
      <c r="P1053" s="2">
        <f ca="1">ROUND((IF(I1053="",TODAY(),I1053)-H1053)/365,1)</f>
        <v>6.3</v>
      </c>
      <c r="Q1053" s="2" t="str">
        <f t="shared" si="16"/>
        <v>High</v>
      </c>
    </row>
    <row r="1054" spans="1:17" x14ac:dyDescent="0.35">
      <c r="A1054" s="2" t="s">
        <v>2838</v>
      </c>
      <c r="B1054" s="2" t="s">
        <v>2839</v>
      </c>
      <c r="C1054" s="2" t="s">
        <v>11</v>
      </c>
      <c r="D1054" s="2" t="s">
        <v>66</v>
      </c>
      <c r="E1054" s="2" t="s">
        <v>31</v>
      </c>
      <c r="F1054" s="2">
        <v>50</v>
      </c>
      <c r="G1054" s="2" t="s">
        <v>78</v>
      </c>
      <c r="H1054" s="3" t="s">
        <v>2840</v>
      </c>
      <c r="I1054" s="2"/>
      <c r="J1054" s="2" t="s">
        <v>8</v>
      </c>
      <c r="K1054" s="2">
        <v>94602</v>
      </c>
      <c r="L1054" s="2">
        <v>3</v>
      </c>
      <c r="M1054" s="2">
        <v>5</v>
      </c>
      <c r="N1054" s="2" t="s">
        <v>6</v>
      </c>
      <c r="O1054" s="2">
        <v>36</v>
      </c>
      <c r="P1054" s="2">
        <f ca="1">ROUND((IF(I1054="",TODAY(),I1054)-H1054)/365,1)</f>
        <v>8.9</v>
      </c>
      <c r="Q1054" s="2" t="str">
        <f t="shared" si="16"/>
        <v>Medium</v>
      </c>
    </row>
    <row r="1055" spans="1:17" x14ac:dyDescent="0.35">
      <c r="A1055" s="2" t="s">
        <v>2841</v>
      </c>
      <c r="B1055" s="2" t="s">
        <v>503</v>
      </c>
      <c r="C1055" s="2" t="s">
        <v>7</v>
      </c>
      <c r="D1055" s="2" t="s">
        <v>155</v>
      </c>
      <c r="E1055" s="2" t="s">
        <v>46</v>
      </c>
      <c r="F1055" s="2">
        <v>35</v>
      </c>
      <c r="G1055" s="2" t="s">
        <v>32</v>
      </c>
      <c r="H1055" s="3" t="s">
        <v>2842</v>
      </c>
      <c r="I1055" s="2"/>
      <c r="J1055" s="2" t="s">
        <v>8</v>
      </c>
      <c r="K1055" s="2">
        <v>68648</v>
      </c>
      <c r="L1055" s="2">
        <v>4</v>
      </c>
      <c r="M1055" s="2">
        <v>2</v>
      </c>
      <c r="N1055" s="2" t="s">
        <v>6</v>
      </c>
      <c r="O1055" s="2">
        <v>24</v>
      </c>
      <c r="P1055" s="2">
        <f ca="1">ROUND((IF(I1055="",TODAY(),I1055)-H1055)/365,1)</f>
        <v>9.5</v>
      </c>
      <c r="Q1055" s="2" t="str">
        <f t="shared" si="16"/>
        <v>High</v>
      </c>
    </row>
    <row r="1056" spans="1:17" x14ac:dyDescent="0.35">
      <c r="A1056" s="2" t="s">
        <v>2843</v>
      </c>
      <c r="B1056" s="2" t="s">
        <v>634</v>
      </c>
      <c r="C1056" s="2" t="s">
        <v>12</v>
      </c>
      <c r="D1056" s="2" t="s">
        <v>133</v>
      </c>
      <c r="E1056" s="2" t="s">
        <v>46</v>
      </c>
      <c r="F1056" s="2">
        <v>30</v>
      </c>
      <c r="G1056" s="2" t="s">
        <v>32</v>
      </c>
      <c r="H1056" s="3" t="s">
        <v>2844</v>
      </c>
      <c r="I1056" s="2"/>
      <c r="J1056" s="2" t="s">
        <v>8</v>
      </c>
      <c r="K1056" s="2">
        <v>129608</v>
      </c>
      <c r="L1056" s="2">
        <v>4</v>
      </c>
      <c r="M1056" s="2">
        <v>4</v>
      </c>
      <c r="N1056" s="2" t="s">
        <v>8</v>
      </c>
      <c r="O1056" s="2">
        <v>32</v>
      </c>
      <c r="P1056" s="2">
        <f ca="1">ROUND((IF(I1056="",TODAY(),I1056)-H1056)/365,1)</f>
        <v>10.3</v>
      </c>
      <c r="Q1056" s="2" t="str">
        <f t="shared" si="16"/>
        <v>Low</v>
      </c>
    </row>
    <row r="1057" spans="1:17" x14ac:dyDescent="0.35">
      <c r="A1057" s="2" t="s">
        <v>2845</v>
      </c>
      <c r="B1057" s="2" t="s">
        <v>2846</v>
      </c>
      <c r="C1057" s="2" t="s">
        <v>5</v>
      </c>
      <c r="D1057" s="2" t="s">
        <v>102</v>
      </c>
      <c r="E1057" s="2" t="s">
        <v>46</v>
      </c>
      <c r="F1057" s="2">
        <v>49</v>
      </c>
      <c r="G1057" s="2" t="s">
        <v>56</v>
      </c>
      <c r="H1057" s="3" t="s">
        <v>2847</v>
      </c>
      <c r="I1057" s="2"/>
      <c r="J1057" s="2" t="s">
        <v>8</v>
      </c>
      <c r="K1057" s="2">
        <v>62047</v>
      </c>
      <c r="L1057" s="2">
        <v>5</v>
      </c>
      <c r="M1057" s="2">
        <v>3</v>
      </c>
      <c r="N1057" s="2" t="s">
        <v>8</v>
      </c>
      <c r="O1057" s="2">
        <v>32</v>
      </c>
      <c r="P1057" s="2">
        <f ca="1">ROUND((IF(I1057="",TODAY(),I1057)-H1057)/365,1)</f>
        <v>11.3</v>
      </c>
      <c r="Q1057" s="2" t="str">
        <f t="shared" si="16"/>
        <v>Low</v>
      </c>
    </row>
    <row r="1058" spans="1:17" x14ac:dyDescent="0.35">
      <c r="A1058" s="2" t="s">
        <v>2848</v>
      </c>
      <c r="B1058" s="2" t="s">
        <v>2849</v>
      </c>
      <c r="C1058" s="2" t="s">
        <v>5</v>
      </c>
      <c r="D1058" s="2" t="s">
        <v>102</v>
      </c>
      <c r="E1058" s="2" t="s">
        <v>31</v>
      </c>
      <c r="F1058" s="2">
        <v>57</v>
      </c>
      <c r="G1058" s="2" t="s">
        <v>78</v>
      </c>
      <c r="H1058" s="3" t="s">
        <v>2850</v>
      </c>
      <c r="I1058" s="2"/>
      <c r="J1058" s="2" t="s">
        <v>8</v>
      </c>
      <c r="K1058" s="2">
        <v>100225</v>
      </c>
      <c r="L1058" s="2">
        <v>5</v>
      </c>
      <c r="M1058" s="2">
        <v>2</v>
      </c>
      <c r="N1058" s="2" t="s">
        <v>6</v>
      </c>
      <c r="O1058" s="2">
        <v>6</v>
      </c>
      <c r="P1058" s="2">
        <f ca="1">ROUND((IF(I1058="",TODAY(),I1058)-H1058)/365,1)</f>
        <v>2.9</v>
      </c>
      <c r="Q1058" s="2" t="str">
        <f t="shared" si="16"/>
        <v>High</v>
      </c>
    </row>
    <row r="1059" spans="1:17" x14ac:dyDescent="0.35">
      <c r="A1059" s="2" t="s">
        <v>2851</v>
      </c>
      <c r="B1059" s="2" t="s">
        <v>320</v>
      </c>
      <c r="C1059" s="2" t="s">
        <v>7</v>
      </c>
      <c r="D1059" s="2" t="s">
        <v>155</v>
      </c>
      <c r="E1059" s="2" t="s">
        <v>46</v>
      </c>
      <c r="F1059" s="2">
        <v>50</v>
      </c>
      <c r="G1059" s="2" t="s">
        <v>56</v>
      </c>
      <c r="H1059" s="3" t="s">
        <v>2852</v>
      </c>
      <c r="I1059" s="2"/>
      <c r="J1059" s="2" t="s">
        <v>8</v>
      </c>
      <c r="K1059" s="2">
        <v>48812</v>
      </c>
      <c r="L1059" s="2">
        <v>3</v>
      </c>
      <c r="M1059" s="2">
        <v>2</v>
      </c>
      <c r="N1059" s="2" t="s">
        <v>8</v>
      </c>
      <c r="O1059" s="2">
        <v>5</v>
      </c>
      <c r="P1059" s="2">
        <f ca="1">ROUND((IF(I1059="",TODAY(),I1059)-H1059)/365,1)</f>
        <v>1.6</v>
      </c>
      <c r="Q1059" s="2" t="str">
        <f t="shared" si="16"/>
        <v>Medium</v>
      </c>
    </row>
    <row r="1060" spans="1:17" x14ac:dyDescent="0.35">
      <c r="A1060" s="2" t="s">
        <v>2853</v>
      </c>
      <c r="B1060" s="2" t="s">
        <v>323</v>
      </c>
      <c r="C1060" s="2" t="s">
        <v>10</v>
      </c>
      <c r="D1060" s="2" t="s">
        <v>70</v>
      </c>
      <c r="E1060" s="2" t="s">
        <v>46</v>
      </c>
      <c r="F1060" s="2">
        <v>58</v>
      </c>
      <c r="G1060" s="2" t="s">
        <v>78</v>
      </c>
      <c r="H1060" s="3" t="s">
        <v>2854</v>
      </c>
      <c r="I1060" s="2"/>
      <c r="J1060" s="2" t="s">
        <v>8</v>
      </c>
      <c r="K1060" s="2">
        <v>54521</v>
      </c>
      <c r="L1060" s="2">
        <v>1</v>
      </c>
      <c r="M1060" s="2">
        <v>4</v>
      </c>
      <c r="N1060" s="2" t="s">
        <v>6</v>
      </c>
      <c r="O1060" s="2">
        <v>1</v>
      </c>
      <c r="P1060" s="2">
        <f ca="1">ROUND((IF(I1060="",TODAY(),I1060)-H1060)/365,1)</f>
        <v>8.3000000000000007</v>
      </c>
      <c r="Q1060" s="2" t="str">
        <f t="shared" si="16"/>
        <v>Medium</v>
      </c>
    </row>
    <row r="1061" spans="1:17" x14ac:dyDescent="0.35">
      <c r="A1061" s="2" t="s">
        <v>2855</v>
      </c>
      <c r="B1061" s="2" t="s">
        <v>1918</v>
      </c>
      <c r="C1061" s="2" t="s">
        <v>9</v>
      </c>
      <c r="D1061" s="2" t="s">
        <v>51</v>
      </c>
      <c r="E1061" s="2" t="s">
        <v>46</v>
      </c>
      <c r="F1061" s="2">
        <v>34</v>
      </c>
      <c r="G1061" s="2" t="s">
        <v>32</v>
      </c>
      <c r="H1061" s="3" t="s">
        <v>2856</v>
      </c>
      <c r="I1061" s="2"/>
      <c r="J1061" s="2" t="s">
        <v>8</v>
      </c>
      <c r="K1061" s="2">
        <v>49752</v>
      </c>
      <c r="L1061" s="2">
        <v>5</v>
      </c>
      <c r="M1061" s="2">
        <v>3</v>
      </c>
      <c r="N1061" s="2" t="s">
        <v>8</v>
      </c>
      <c r="O1061" s="2">
        <v>10</v>
      </c>
      <c r="P1061" s="2">
        <f ca="1">ROUND((IF(I1061="",TODAY(),I1061)-H1061)/365,1)</f>
        <v>3</v>
      </c>
      <c r="Q1061" s="2" t="str">
        <f t="shared" si="16"/>
        <v>Low</v>
      </c>
    </row>
    <row r="1062" spans="1:17" x14ac:dyDescent="0.35">
      <c r="A1062" s="2" t="s">
        <v>2857</v>
      </c>
      <c r="B1062" s="2" t="s">
        <v>1300</v>
      </c>
      <c r="C1062" s="2" t="s">
        <v>7</v>
      </c>
      <c r="D1062" s="2" t="s">
        <v>155</v>
      </c>
      <c r="E1062" s="2" t="s">
        <v>31</v>
      </c>
      <c r="F1062" s="2">
        <v>24</v>
      </c>
      <c r="G1062" s="2" t="s">
        <v>78</v>
      </c>
      <c r="H1062" s="3" t="s">
        <v>2858</v>
      </c>
      <c r="I1062" s="2"/>
      <c r="J1062" s="2" t="s">
        <v>8</v>
      </c>
      <c r="K1062" s="2">
        <v>139105</v>
      </c>
      <c r="L1062" s="2">
        <v>1</v>
      </c>
      <c r="M1062" s="2">
        <v>3</v>
      </c>
      <c r="N1062" s="2" t="s">
        <v>6</v>
      </c>
      <c r="O1062" s="2">
        <v>21</v>
      </c>
      <c r="P1062" s="2">
        <f ca="1">ROUND((IF(I1062="",TODAY(),I1062)-H1062)/365,1)</f>
        <v>2.9</v>
      </c>
      <c r="Q1062" s="2" t="str">
        <f t="shared" si="16"/>
        <v>Medium</v>
      </c>
    </row>
    <row r="1063" spans="1:17" x14ac:dyDescent="0.35">
      <c r="A1063" s="2" t="s">
        <v>2859</v>
      </c>
      <c r="B1063" s="2" t="s">
        <v>1328</v>
      </c>
      <c r="C1063" s="2" t="s">
        <v>12</v>
      </c>
      <c r="D1063" s="2" t="s">
        <v>30</v>
      </c>
      <c r="E1063" s="2" t="s">
        <v>31</v>
      </c>
      <c r="F1063" s="2">
        <v>49</v>
      </c>
      <c r="G1063" s="2" t="s">
        <v>78</v>
      </c>
      <c r="H1063" s="3" t="s">
        <v>2860</v>
      </c>
      <c r="I1063" s="3" t="s">
        <v>2565</v>
      </c>
      <c r="J1063" s="2" t="s">
        <v>6</v>
      </c>
      <c r="K1063" s="2">
        <v>42997</v>
      </c>
      <c r="L1063" s="2">
        <v>3</v>
      </c>
      <c r="M1063" s="2">
        <v>2</v>
      </c>
      <c r="N1063" s="2" t="s">
        <v>6</v>
      </c>
      <c r="O1063" s="2">
        <v>2</v>
      </c>
      <c r="P1063" s="2">
        <f ca="1">ROUND((IF(I1063="",TODAY(),I1063)-H1063)/365,1)</f>
        <v>4.4000000000000004</v>
      </c>
      <c r="Q1063" s="2" t="str">
        <f t="shared" si="16"/>
        <v>N/A</v>
      </c>
    </row>
    <row r="1064" spans="1:17" x14ac:dyDescent="0.35">
      <c r="A1064" s="2" t="s">
        <v>2861</v>
      </c>
      <c r="B1064" s="2" t="s">
        <v>551</v>
      </c>
      <c r="C1064" s="2" t="s">
        <v>5</v>
      </c>
      <c r="D1064" s="2" t="s">
        <v>207</v>
      </c>
      <c r="E1064" s="2" t="s">
        <v>31</v>
      </c>
      <c r="F1064" s="2">
        <v>50</v>
      </c>
      <c r="G1064" s="2" t="s">
        <v>32</v>
      </c>
      <c r="H1064" s="3" t="s">
        <v>2604</v>
      </c>
      <c r="I1064" s="3" t="s">
        <v>2862</v>
      </c>
      <c r="J1064" s="2" t="s">
        <v>6</v>
      </c>
      <c r="K1064" s="2">
        <v>131758</v>
      </c>
      <c r="L1064" s="2">
        <v>4</v>
      </c>
      <c r="M1064" s="2">
        <v>2</v>
      </c>
      <c r="N1064" s="2" t="s">
        <v>8</v>
      </c>
      <c r="O1064" s="2">
        <v>38</v>
      </c>
      <c r="P1064" s="2">
        <f ca="1">ROUND((IF(I1064="",TODAY(),I1064)-H1064)/365,1)</f>
        <v>2.1</v>
      </c>
      <c r="Q1064" s="2" t="str">
        <f t="shared" si="16"/>
        <v>N/A</v>
      </c>
    </row>
    <row r="1065" spans="1:17" x14ac:dyDescent="0.35">
      <c r="A1065" s="2" t="s">
        <v>2863</v>
      </c>
      <c r="B1065" s="2" t="s">
        <v>946</v>
      </c>
      <c r="C1065" s="2" t="s">
        <v>11</v>
      </c>
      <c r="D1065" s="2" t="s">
        <v>98</v>
      </c>
      <c r="E1065" s="2" t="s">
        <v>31</v>
      </c>
      <c r="F1065" s="2">
        <v>29</v>
      </c>
      <c r="G1065" s="2" t="s">
        <v>32</v>
      </c>
      <c r="H1065" s="3" t="s">
        <v>2864</v>
      </c>
      <c r="I1065" s="2"/>
      <c r="J1065" s="2" t="s">
        <v>8</v>
      </c>
      <c r="K1065" s="2">
        <v>50032</v>
      </c>
      <c r="L1065" s="2">
        <v>3</v>
      </c>
      <c r="M1065" s="2">
        <v>3</v>
      </c>
      <c r="N1065" s="2" t="s">
        <v>8</v>
      </c>
      <c r="O1065" s="2">
        <v>27</v>
      </c>
      <c r="P1065" s="2">
        <f ca="1">ROUND((IF(I1065="",TODAY(),I1065)-H1065)/365,1)</f>
        <v>6.1</v>
      </c>
      <c r="Q1065" s="2" t="str">
        <f t="shared" si="16"/>
        <v>Low</v>
      </c>
    </row>
    <row r="1066" spans="1:17" x14ac:dyDescent="0.35">
      <c r="A1066" s="2" t="s">
        <v>2865</v>
      </c>
      <c r="B1066" s="2" t="s">
        <v>2866</v>
      </c>
      <c r="C1066" s="2" t="s">
        <v>11</v>
      </c>
      <c r="D1066" s="2" t="s">
        <v>66</v>
      </c>
      <c r="E1066" s="2" t="s">
        <v>46</v>
      </c>
      <c r="F1066" s="2">
        <v>29</v>
      </c>
      <c r="G1066" s="2" t="s">
        <v>32</v>
      </c>
      <c r="H1066" s="3" t="s">
        <v>1284</v>
      </c>
      <c r="I1066" s="2"/>
      <c r="J1066" s="2" t="s">
        <v>8</v>
      </c>
      <c r="K1066" s="2">
        <v>137393</v>
      </c>
      <c r="L1066" s="2">
        <v>4</v>
      </c>
      <c r="M1066" s="2">
        <v>4</v>
      </c>
      <c r="N1066" s="2" t="s">
        <v>6</v>
      </c>
      <c r="O1066" s="2">
        <v>26</v>
      </c>
      <c r="P1066" s="2">
        <f ca="1">ROUND((IF(I1066="",TODAY(),I1066)-H1066)/365,1)</f>
        <v>6.5</v>
      </c>
      <c r="Q1066" s="2" t="str">
        <f t="shared" si="16"/>
        <v>Medium</v>
      </c>
    </row>
    <row r="1067" spans="1:17" x14ac:dyDescent="0.35">
      <c r="A1067" s="2" t="s">
        <v>2867</v>
      </c>
      <c r="B1067" s="2" t="s">
        <v>2868</v>
      </c>
      <c r="C1067" s="2" t="s">
        <v>9</v>
      </c>
      <c r="D1067" s="2" t="s">
        <v>51</v>
      </c>
      <c r="E1067" s="2" t="s">
        <v>46</v>
      </c>
      <c r="F1067" s="2">
        <v>27</v>
      </c>
      <c r="G1067" s="2" t="s">
        <v>78</v>
      </c>
      <c r="H1067" s="3" t="s">
        <v>2869</v>
      </c>
      <c r="I1067" s="2"/>
      <c r="J1067" s="2" t="s">
        <v>8</v>
      </c>
      <c r="K1067" s="2">
        <v>149689</v>
      </c>
      <c r="L1067" s="2">
        <v>4</v>
      </c>
      <c r="M1067" s="2">
        <v>4</v>
      </c>
      <c r="N1067" s="2" t="s">
        <v>8</v>
      </c>
      <c r="O1067" s="2">
        <v>2</v>
      </c>
      <c r="P1067" s="2">
        <f ca="1">ROUND((IF(I1067="",TODAY(),I1067)-H1067)/365,1)</f>
        <v>4.3</v>
      </c>
      <c r="Q1067" s="2" t="str">
        <f t="shared" si="16"/>
        <v>Low</v>
      </c>
    </row>
    <row r="1068" spans="1:17" x14ac:dyDescent="0.35">
      <c r="A1068" s="2" t="s">
        <v>2870</v>
      </c>
      <c r="B1068" s="2" t="s">
        <v>2871</v>
      </c>
      <c r="C1068" s="2" t="s">
        <v>9</v>
      </c>
      <c r="D1068" s="2" t="s">
        <v>51</v>
      </c>
      <c r="E1068" s="2" t="s">
        <v>31</v>
      </c>
      <c r="F1068" s="2">
        <v>58</v>
      </c>
      <c r="G1068" s="2" t="s">
        <v>32</v>
      </c>
      <c r="H1068" s="3" t="s">
        <v>594</v>
      </c>
      <c r="I1068" s="3" t="s">
        <v>2872</v>
      </c>
      <c r="J1068" s="2" t="s">
        <v>6</v>
      </c>
      <c r="K1068" s="2">
        <v>86579</v>
      </c>
      <c r="L1068" s="2">
        <v>2</v>
      </c>
      <c r="M1068" s="2">
        <v>2</v>
      </c>
      <c r="N1068" s="2" t="s">
        <v>6</v>
      </c>
      <c r="O1068" s="2">
        <v>45</v>
      </c>
      <c r="P1068" s="2">
        <f ca="1">ROUND((IF(I1068="",TODAY(),I1068)-H1068)/365,1)</f>
        <v>4.9000000000000004</v>
      </c>
      <c r="Q1068" s="2" t="str">
        <f t="shared" si="16"/>
        <v>N/A</v>
      </c>
    </row>
    <row r="1069" spans="1:17" x14ac:dyDescent="0.35">
      <c r="A1069" s="2" t="s">
        <v>2873</v>
      </c>
      <c r="B1069" s="2" t="s">
        <v>2874</v>
      </c>
      <c r="C1069" s="2" t="s">
        <v>12</v>
      </c>
      <c r="D1069" s="2" t="s">
        <v>55</v>
      </c>
      <c r="E1069" s="2" t="s">
        <v>46</v>
      </c>
      <c r="F1069" s="2">
        <v>48</v>
      </c>
      <c r="G1069" s="2" t="s">
        <v>56</v>
      </c>
      <c r="H1069" s="3" t="s">
        <v>2875</v>
      </c>
      <c r="I1069" s="2"/>
      <c r="J1069" s="2" t="s">
        <v>8</v>
      </c>
      <c r="K1069" s="2">
        <v>44841</v>
      </c>
      <c r="L1069" s="2">
        <v>2</v>
      </c>
      <c r="M1069" s="2">
        <v>2</v>
      </c>
      <c r="N1069" s="2" t="s">
        <v>6</v>
      </c>
      <c r="O1069" s="2">
        <v>34</v>
      </c>
      <c r="P1069" s="2">
        <f ca="1">ROUND((IF(I1069="",TODAY(),I1069)-H1069)/365,1)</f>
        <v>2.4</v>
      </c>
      <c r="Q1069" s="2" t="str">
        <f t="shared" si="16"/>
        <v>High</v>
      </c>
    </row>
    <row r="1070" spans="1:17" x14ac:dyDescent="0.35">
      <c r="A1070" s="2" t="s">
        <v>2876</v>
      </c>
      <c r="B1070" s="2" t="s">
        <v>2351</v>
      </c>
      <c r="C1070" s="2" t="s">
        <v>12</v>
      </c>
      <c r="D1070" s="2" t="s">
        <v>30</v>
      </c>
      <c r="E1070" s="2" t="s">
        <v>46</v>
      </c>
      <c r="F1070" s="2">
        <v>23</v>
      </c>
      <c r="G1070" s="2" t="s">
        <v>78</v>
      </c>
      <c r="H1070" s="3" t="s">
        <v>2877</v>
      </c>
      <c r="I1070" s="3" t="s">
        <v>2878</v>
      </c>
      <c r="J1070" s="2" t="s">
        <v>6</v>
      </c>
      <c r="K1070" s="2">
        <v>106515</v>
      </c>
      <c r="L1070" s="2">
        <v>3</v>
      </c>
      <c r="M1070" s="2">
        <v>4</v>
      </c>
      <c r="N1070" s="2" t="s">
        <v>6</v>
      </c>
      <c r="O1070" s="2">
        <v>17</v>
      </c>
      <c r="P1070" s="2">
        <f ca="1">ROUND((IF(I1070="",TODAY(),I1070)-H1070)/365,1)</f>
        <v>0.5</v>
      </c>
      <c r="Q1070" s="2" t="str">
        <f t="shared" si="16"/>
        <v>N/A</v>
      </c>
    </row>
    <row r="1071" spans="1:17" x14ac:dyDescent="0.35">
      <c r="A1071" s="2" t="s">
        <v>2879</v>
      </c>
      <c r="B1071" s="2" t="s">
        <v>1858</v>
      </c>
      <c r="C1071" s="2" t="s">
        <v>9</v>
      </c>
      <c r="D1071" s="2" t="s">
        <v>51</v>
      </c>
      <c r="E1071" s="2" t="s">
        <v>46</v>
      </c>
      <c r="F1071" s="2">
        <v>48</v>
      </c>
      <c r="G1071" s="2" t="s">
        <v>32</v>
      </c>
      <c r="H1071" s="3" t="s">
        <v>1046</v>
      </c>
      <c r="I1071" s="3" t="s">
        <v>2880</v>
      </c>
      <c r="J1071" s="2" t="s">
        <v>6</v>
      </c>
      <c r="K1071" s="2">
        <v>45731</v>
      </c>
      <c r="L1071" s="2">
        <v>5</v>
      </c>
      <c r="M1071" s="2">
        <v>5</v>
      </c>
      <c r="N1071" s="2" t="s">
        <v>8</v>
      </c>
      <c r="O1071" s="2">
        <v>11</v>
      </c>
      <c r="P1071" s="2">
        <f ca="1">ROUND((IF(I1071="",TODAY(),I1071)-H1071)/365,1)</f>
        <v>10.199999999999999</v>
      </c>
      <c r="Q1071" s="2" t="str">
        <f t="shared" si="16"/>
        <v>N/A</v>
      </c>
    </row>
    <row r="1072" spans="1:17" x14ac:dyDescent="0.35">
      <c r="A1072" s="2" t="s">
        <v>2881</v>
      </c>
      <c r="B1072" s="2" t="s">
        <v>1982</v>
      </c>
      <c r="C1072" s="2" t="s">
        <v>7</v>
      </c>
      <c r="D1072" s="2" t="s">
        <v>155</v>
      </c>
      <c r="E1072" s="2" t="s">
        <v>46</v>
      </c>
      <c r="F1072" s="2">
        <v>52</v>
      </c>
      <c r="G1072" s="2" t="s">
        <v>56</v>
      </c>
      <c r="H1072" s="3" t="s">
        <v>2882</v>
      </c>
      <c r="I1072" s="2"/>
      <c r="J1072" s="2" t="s">
        <v>8</v>
      </c>
      <c r="K1072" s="2">
        <v>137317</v>
      </c>
      <c r="L1072" s="2">
        <v>4</v>
      </c>
      <c r="M1072" s="2">
        <v>5</v>
      </c>
      <c r="N1072" s="2" t="s">
        <v>8</v>
      </c>
      <c r="O1072" s="2">
        <v>9</v>
      </c>
      <c r="P1072" s="2">
        <f ca="1">ROUND((IF(I1072="",TODAY(),I1072)-H1072)/365,1)</f>
        <v>6.4</v>
      </c>
      <c r="Q1072" s="2" t="str">
        <f t="shared" si="16"/>
        <v>Low</v>
      </c>
    </row>
    <row r="1073" spans="1:17" x14ac:dyDescent="0.35">
      <c r="A1073" s="2" t="s">
        <v>2883</v>
      </c>
      <c r="B1073" s="2" t="s">
        <v>2884</v>
      </c>
      <c r="C1073" s="2" t="s">
        <v>5</v>
      </c>
      <c r="D1073" s="2" t="s">
        <v>207</v>
      </c>
      <c r="E1073" s="2" t="s">
        <v>46</v>
      </c>
      <c r="F1073" s="2">
        <v>30</v>
      </c>
      <c r="G1073" s="2" t="s">
        <v>32</v>
      </c>
      <c r="H1073" s="3" t="s">
        <v>2885</v>
      </c>
      <c r="I1073" s="2"/>
      <c r="J1073" s="2" t="s">
        <v>8</v>
      </c>
      <c r="K1073" s="2">
        <v>118888</v>
      </c>
      <c r="L1073" s="2">
        <v>5</v>
      </c>
      <c r="M1073" s="2">
        <v>3</v>
      </c>
      <c r="N1073" s="2" t="s">
        <v>8</v>
      </c>
      <c r="O1073" s="2">
        <v>43</v>
      </c>
      <c r="P1073" s="2">
        <f ca="1">ROUND((IF(I1073="",TODAY(),I1073)-H1073)/365,1)</f>
        <v>8</v>
      </c>
      <c r="Q1073" s="2" t="str">
        <f t="shared" si="16"/>
        <v>Low</v>
      </c>
    </row>
    <row r="1074" spans="1:17" x14ac:dyDescent="0.35">
      <c r="A1074" s="2" t="s">
        <v>2886</v>
      </c>
      <c r="B1074" s="2" t="s">
        <v>771</v>
      </c>
      <c r="C1074" s="2" t="s">
        <v>12</v>
      </c>
      <c r="D1074" s="2" t="s">
        <v>55</v>
      </c>
      <c r="E1074" s="2" t="s">
        <v>31</v>
      </c>
      <c r="F1074" s="2">
        <v>54</v>
      </c>
      <c r="G1074" s="2" t="s">
        <v>56</v>
      </c>
      <c r="H1074" s="3" t="s">
        <v>2887</v>
      </c>
      <c r="I1074" s="3" t="s">
        <v>2888</v>
      </c>
      <c r="J1074" s="2" t="s">
        <v>6</v>
      </c>
      <c r="K1074" s="2">
        <v>35772</v>
      </c>
      <c r="L1074" s="2">
        <v>2</v>
      </c>
      <c r="M1074" s="2">
        <v>2</v>
      </c>
      <c r="N1074" s="2" t="s">
        <v>8</v>
      </c>
      <c r="O1074" s="2">
        <v>43</v>
      </c>
      <c r="P1074" s="2">
        <f ca="1">ROUND((IF(I1074="",TODAY(),I1074)-H1074)/365,1)</f>
        <v>4.7</v>
      </c>
      <c r="Q1074" s="2" t="str">
        <f t="shared" si="16"/>
        <v>N/A</v>
      </c>
    </row>
    <row r="1075" spans="1:17" x14ac:dyDescent="0.35">
      <c r="A1075" s="2" t="s">
        <v>2889</v>
      </c>
      <c r="B1075" s="2" t="s">
        <v>89</v>
      </c>
      <c r="C1075" s="2" t="s">
        <v>9</v>
      </c>
      <c r="D1075" s="2" t="s">
        <v>77</v>
      </c>
      <c r="E1075" s="2" t="s">
        <v>31</v>
      </c>
      <c r="F1075" s="2">
        <v>38</v>
      </c>
      <c r="G1075" s="2" t="s">
        <v>56</v>
      </c>
      <c r="H1075" s="3" t="s">
        <v>2890</v>
      </c>
      <c r="I1075" s="2"/>
      <c r="J1075" s="2" t="s">
        <v>8</v>
      </c>
      <c r="K1075" s="2">
        <v>112602</v>
      </c>
      <c r="L1075" s="2">
        <v>3</v>
      </c>
      <c r="M1075" s="2">
        <v>3</v>
      </c>
      <c r="N1075" s="2" t="s">
        <v>8</v>
      </c>
      <c r="O1075" s="2">
        <v>30</v>
      </c>
      <c r="P1075" s="2">
        <f ca="1">ROUND((IF(I1075="",TODAY(),I1075)-H1075)/365,1)</f>
        <v>9.5</v>
      </c>
      <c r="Q1075" s="2" t="str">
        <f t="shared" si="16"/>
        <v>Low</v>
      </c>
    </row>
    <row r="1076" spans="1:17" x14ac:dyDescent="0.35">
      <c r="A1076" s="2" t="s">
        <v>2891</v>
      </c>
      <c r="B1076" s="2" t="s">
        <v>981</v>
      </c>
      <c r="C1076" s="2" t="s">
        <v>11</v>
      </c>
      <c r="D1076" s="2" t="s">
        <v>66</v>
      </c>
      <c r="E1076" s="2" t="s">
        <v>31</v>
      </c>
      <c r="F1076" s="2">
        <v>45</v>
      </c>
      <c r="G1076" s="2" t="s">
        <v>32</v>
      </c>
      <c r="H1076" s="3" t="s">
        <v>2892</v>
      </c>
      <c r="I1076" s="2"/>
      <c r="J1076" s="2" t="s">
        <v>8</v>
      </c>
      <c r="K1076" s="2">
        <v>31293</v>
      </c>
      <c r="L1076" s="2">
        <v>4</v>
      </c>
      <c r="M1076" s="2">
        <v>1</v>
      </c>
      <c r="N1076" s="2" t="s">
        <v>6</v>
      </c>
      <c r="O1076" s="2">
        <v>41</v>
      </c>
      <c r="P1076" s="2">
        <f ca="1">ROUND((IF(I1076="",TODAY(),I1076)-H1076)/365,1)</f>
        <v>4.2</v>
      </c>
      <c r="Q1076" s="2" t="str">
        <f t="shared" si="16"/>
        <v>High</v>
      </c>
    </row>
    <row r="1077" spans="1:17" x14ac:dyDescent="0.35">
      <c r="A1077" s="2" t="s">
        <v>2893</v>
      </c>
      <c r="B1077" s="2" t="s">
        <v>2871</v>
      </c>
      <c r="C1077" s="2" t="s">
        <v>5</v>
      </c>
      <c r="D1077" s="2" t="s">
        <v>94</v>
      </c>
      <c r="E1077" s="2" t="s">
        <v>31</v>
      </c>
      <c r="F1077" s="2">
        <v>47</v>
      </c>
      <c r="G1077" s="2" t="s">
        <v>56</v>
      </c>
      <c r="H1077" s="3" t="s">
        <v>2894</v>
      </c>
      <c r="I1077" s="2"/>
      <c r="J1077" s="2" t="s">
        <v>8</v>
      </c>
      <c r="K1077" s="2">
        <v>49608</v>
      </c>
      <c r="L1077" s="2">
        <v>4</v>
      </c>
      <c r="M1077" s="2">
        <v>4</v>
      </c>
      <c r="N1077" s="2" t="s">
        <v>6</v>
      </c>
      <c r="O1077" s="2">
        <v>23</v>
      </c>
      <c r="P1077" s="2">
        <f ca="1">ROUND((IF(I1077="",TODAY(),I1077)-H1077)/365,1)</f>
        <v>8</v>
      </c>
      <c r="Q1077" s="2" t="str">
        <f t="shared" si="16"/>
        <v>Medium</v>
      </c>
    </row>
    <row r="1078" spans="1:17" x14ac:dyDescent="0.35">
      <c r="A1078" s="2" t="s">
        <v>2895</v>
      </c>
      <c r="B1078" s="2" t="s">
        <v>1720</v>
      </c>
      <c r="C1078" s="2" t="s">
        <v>11</v>
      </c>
      <c r="D1078" s="2" t="s">
        <v>66</v>
      </c>
      <c r="E1078" s="2" t="s">
        <v>46</v>
      </c>
      <c r="F1078" s="2">
        <v>38</v>
      </c>
      <c r="G1078" s="2" t="s">
        <v>32</v>
      </c>
      <c r="H1078" s="3" t="s">
        <v>2896</v>
      </c>
      <c r="I1078" s="2"/>
      <c r="J1078" s="2" t="s">
        <v>8</v>
      </c>
      <c r="K1078" s="2">
        <v>69204</v>
      </c>
      <c r="L1078" s="2">
        <v>5</v>
      </c>
      <c r="M1078" s="2">
        <v>3</v>
      </c>
      <c r="N1078" s="2" t="s">
        <v>8</v>
      </c>
      <c r="O1078" s="2">
        <v>22</v>
      </c>
      <c r="P1078" s="2">
        <f ca="1">ROUND((IF(I1078="",TODAY(),I1078)-H1078)/365,1)</f>
        <v>5.5</v>
      </c>
      <c r="Q1078" s="2" t="str">
        <f t="shared" si="16"/>
        <v>Low</v>
      </c>
    </row>
    <row r="1079" spans="1:17" x14ac:dyDescent="0.35">
      <c r="A1079" s="2" t="s">
        <v>2897</v>
      </c>
      <c r="B1079" s="2" t="s">
        <v>2598</v>
      </c>
      <c r="C1079" s="2" t="s">
        <v>10</v>
      </c>
      <c r="D1079" s="2" t="s">
        <v>70</v>
      </c>
      <c r="E1079" s="2" t="s">
        <v>46</v>
      </c>
      <c r="F1079" s="2">
        <v>55</v>
      </c>
      <c r="G1079" s="2" t="s">
        <v>56</v>
      </c>
      <c r="H1079" s="3" t="s">
        <v>2898</v>
      </c>
      <c r="I1079" s="3" t="s">
        <v>2899</v>
      </c>
      <c r="J1079" s="2" t="s">
        <v>6</v>
      </c>
      <c r="K1079" s="2">
        <v>28331</v>
      </c>
      <c r="L1079" s="2">
        <v>4</v>
      </c>
      <c r="M1079" s="2">
        <v>3</v>
      </c>
      <c r="N1079" s="2" t="s">
        <v>6</v>
      </c>
      <c r="O1079" s="2">
        <v>42</v>
      </c>
      <c r="P1079" s="2">
        <f ca="1">ROUND((IF(I1079="",TODAY(),I1079)-H1079)/365,1)</f>
        <v>2.7</v>
      </c>
      <c r="Q1079" s="2" t="str">
        <f t="shared" si="16"/>
        <v>N/A</v>
      </c>
    </row>
    <row r="1080" spans="1:17" x14ac:dyDescent="0.35">
      <c r="A1080" s="2" t="s">
        <v>2900</v>
      </c>
      <c r="B1080" s="2" t="s">
        <v>132</v>
      </c>
      <c r="C1080" s="2" t="s">
        <v>10</v>
      </c>
      <c r="D1080" s="2" t="s">
        <v>111</v>
      </c>
      <c r="E1080" s="2" t="s">
        <v>31</v>
      </c>
      <c r="F1080" s="2">
        <v>30</v>
      </c>
      <c r="G1080" s="2" t="s">
        <v>32</v>
      </c>
      <c r="H1080" s="3" t="s">
        <v>1288</v>
      </c>
      <c r="I1080" s="2"/>
      <c r="J1080" s="2" t="s">
        <v>8</v>
      </c>
      <c r="K1080" s="2">
        <v>148148</v>
      </c>
      <c r="L1080" s="2">
        <v>4</v>
      </c>
      <c r="M1080" s="2">
        <v>4</v>
      </c>
      <c r="N1080" s="2" t="s">
        <v>6</v>
      </c>
      <c r="O1080" s="2">
        <v>36</v>
      </c>
      <c r="P1080" s="2">
        <f ca="1">ROUND((IF(I1080="",TODAY(),I1080)-H1080)/365,1)</f>
        <v>1.8</v>
      </c>
      <c r="Q1080" s="2" t="str">
        <f t="shared" si="16"/>
        <v>Medium</v>
      </c>
    </row>
    <row r="1081" spans="1:17" x14ac:dyDescent="0.35">
      <c r="A1081" s="2" t="s">
        <v>2901</v>
      </c>
      <c r="B1081" s="2" t="s">
        <v>2902</v>
      </c>
      <c r="C1081" s="2" t="s">
        <v>11</v>
      </c>
      <c r="D1081" s="2" t="s">
        <v>45</v>
      </c>
      <c r="E1081" s="2" t="s">
        <v>46</v>
      </c>
      <c r="F1081" s="2">
        <v>31</v>
      </c>
      <c r="G1081" s="2" t="s">
        <v>56</v>
      </c>
      <c r="H1081" s="3" t="s">
        <v>2689</v>
      </c>
      <c r="I1081" s="2"/>
      <c r="J1081" s="2" t="s">
        <v>8</v>
      </c>
      <c r="K1081" s="2">
        <v>93888</v>
      </c>
      <c r="L1081" s="2">
        <v>2</v>
      </c>
      <c r="M1081" s="2">
        <v>1</v>
      </c>
      <c r="N1081" s="2" t="s">
        <v>8</v>
      </c>
      <c r="O1081" s="2">
        <v>23</v>
      </c>
      <c r="P1081" s="2">
        <f ca="1">ROUND((IF(I1081="",TODAY(),I1081)-H1081)/365,1)</f>
        <v>2.2000000000000002</v>
      </c>
      <c r="Q1081" s="2" t="str">
        <f t="shared" si="16"/>
        <v>Medium</v>
      </c>
    </row>
    <row r="1082" spans="1:17" x14ac:dyDescent="0.35">
      <c r="A1082" s="2" t="s">
        <v>2903</v>
      </c>
      <c r="B1082" s="2" t="s">
        <v>1241</v>
      </c>
      <c r="C1082" s="2" t="s">
        <v>11</v>
      </c>
      <c r="D1082" s="2" t="s">
        <v>98</v>
      </c>
      <c r="E1082" s="2" t="s">
        <v>31</v>
      </c>
      <c r="F1082" s="2">
        <v>56</v>
      </c>
      <c r="G1082" s="2" t="s">
        <v>32</v>
      </c>
      <c r="H1082" s="3" t="s">
        <v>2904</v>
      </c>
      <c r="I1082" s="2"/>
      <c r="J1082" s="2" t="s">
        <v>8</v>
      </c>
      <c r="K1082" s="2">
        <v>45807</v>
      </c>
      <c r="L1082" s="2">
        <v>2</v>
      </c>
      <c r="M1082" s="2">
        <v>5</v>
      </c>
      <c r="N1082" s="2" t="s">
        <v>8</v>
      </c>
      <c r="O1082" s="2">
        <v>24</v>
      </c>
      <c r="P1082" s="2">
        <f ca="1">ROUND((IF(I1082="",TODAY(),I1082)-H1082)/365,1)</f>
        <v>9</v>
      </c>
      <c r="Q1082" s="2" t="str">
        <f t="shared" si="16"/>
        <v>Low</v>
      </c>
    </row>
    <row r="1083" spans="1:17" x14ac:dyDescent="0.35">
      <c r="A1083" s="2" t="s">
        <v>2905</v>
      </c>
      <c r="B1083" s="2" t="s">
        <v>468</v>
      </c>
      <c r="C1083" s="2" t="s">
        <v>12</v>
      </c>
      <c r="D1083" s="2" t="s">
        <v>55</v>
      </c>
      <c r="E1083" s="2" t="s">
        <v>31</v>
      </c>
      <c r="F1083" s="2">
        <v>49</v>
      </c>
      <c r="G1083" s="2" t="s">
        <v>56</v>
      </c>
      <c r="H1083" s="3" t="s">
        <v>2906</v>
      </c>
      <c r="I1083" s="2"/>
      <c r="J1083" s="2" t="s">
        <v>8</v>
      </c>
      <c r="K1083" s="2">
        <v>76088</v>
      </c>
      <c r="L1083" s="2">
        <v>4</v>
      </c>
      <c r="M1083" s="2">
        <v>1</v>
      </c>
      <c r="N1083" s="2" t="s">
        <v>6</v>
      </c>
      <c r="O1083" s="2">
        <v>19</v>
      </c>
      <c r="P1083" s="2">
        <f ca="1">ROUND((IF(I1083="",TODAY(),I1083)-H1083)/365,1)</f>
        <v>2</v>
      </c>
      <c r="Q1083" s="2" t="str">
        <f t="shared" si="16"/>
        <v>High</v>
      </c>
    </row>
    <row r="1084" spans="1:17" x14ac:dyDescent="0.35">
      <c r="A1084" s="2" t="s">
        <v>2907</v>
      </c>
      <c r="B1084" s="2" t="s">
        <v>124</v>
      </c>
      <c r="C1084" s="2" t="s">
        <v>10</v>
      </c>
      <c r="D1084" s="2" t="s">
        <v>258</v>
      </c>
      <c r="E1084" s="2" t="s">
        <v>46</v>
      </c>
      <c r="F1084" s="2">
        <v>22</v>
      </c>
      <c r="G1084" s="2" t="s">
        <v>56</v>
      </c>
      <c r="H1084" s="3" t="s">
        <v>2908</v>
      </c>
      <c r="I1084" s="2"/>
      <c r="J1084" s="2" t="s">
        <v>8</v>
      </c>
      <c r="K1084" s="2">
        <v>145986</v>
      </c>
      <c r="L1084" s="2">
        <v>3</v>
      </c>
      <c r="M1084" s="2">
        <v>5</v>
      </c>
      <c r="N1084" s="2" t="s">
        <v>6</v>
      </c>
      <c r="O1084" s="2">
        <v>14</v>
      </c>
      <c r="P1084" s="2">
        <f ca="1">ROUND((IF(I1084="",TODAY(),I1084)-H1084)/365,1)</f>
        <v>10.8</v>
      </c>
      <c r="Q1084" s="2" t="str">
        <f t="shared" si="16"/>
        <v>Medium</v>
      </c>
    </row>
    <row r="1085" spans="1:17" x14ac:dyDescent="0.35">
      <c r="A1085" s="2" t="s">
        <v>2909</v>
      </c>
      <c r="B1085" s="2" t="s">
        <v>464</v>
      </c>
      <c r="C1085" s="2" t="s">
        <v>5</v>
      </c>
      <c r="D1085" s="2" t="s">
        <v>94</v>
      </c>
      <c r="E1085" s="2" t="s">
        <v>46</v>
      </c>
      <c r="F1085" s="2">
        <v>52</v>
      </c>
      <c r="G1085" s="2" t="s">
        <v>78</v>
      </c>
      <c r="H1085" s="3" t="s">
        <v>2910</v>
      </c>
      <c r="I1085" s="3" t="s">
        <v>2374</v>
      </c>
      <c r="J1085" s="2" t="s">
        <v>6</v>
      </c>
      <c r="K1085" s="2">
        <v>109683</v>
      </c>
      <c r="L1085" s="2">
        <v>4</v>
      </c>
      <c r="M1085" s="2">
        <v>2</v>
      </c>
      <c r="N1085" s="2" t="s">
        <v>6</v>
      </c>
      <c r="O1085" s="2">
        <v>11</v>
      </c>
      <c r="P1085" s="2">
        <f ca="1">ROUND((IF(I1085="",TODAY(),I1085)-H1085)/365,1)</f>
        <v>0.7</v>
      </c>
      <c r="Q1085" s="2" t="str">
        <f t="shared" si="16"/>
        <v>N/A</v>
      </c>
    </row>
    <row r="1086" spans="1:17" x14ac:dyDescent="0.35">
      <c r="A1086" s="2" t="s">
        <v>2911</v>
      </c>
      <c r="B1086" s="2" t="s">
        <v>1311</v>
      </c>
      <c r="C1086" s="2" t="s">
        <v>7</v>
      </c>
      <c r="D1086" s="2" t="s">
        <v>125</v>
      </c>
      <c r="E1086" s="2" t="s">
        <v>31</v>
      </c>
      <c r="F1086" s="2">
        <v>30</v>
      </c>
      <c r="G1086" s="2" t="s">
        <v>32</v>
      </c>
      <c r="H1086" s="3" t="s">
        <v>2912</v>
      </c>
      <c r="I1086" s="2"/>
      <c r="J1086" s="2" t="s">
        <v>8</v>
      </c>
      <c r="K1086" s="2">
        <v>83114</v>
      </c>
      <c r="L1086" s="2">
        <v>2</v>
      </c>
      <c r="M1086" s="2">
        <v>5</v>
      </c>
      <c r="N1086" s="2" t="s">
        <v>8</v>
      </c>
      <c r="O1086" s="2">
        <v>14</v>
      </c>
      <c r="P1086" s="2">
        <f ca="1">ROUND((IF(I1086="",TODAY(),I1086)-H1086)/365,1)</f>
        <v>1.6</v>
      </c>
      <c r="Q1086" s="2" t="str">
        <f t="shared" si="16"/>
        <v>Low</v>
      </c>
    </row>
    <row r="1087" spans="1:17" x14ac:dyDescent="0.35">
      <c r="A1087" s="2" t="s">
        <v>2913</v>
      </c>
      <c r="B1087" s="2" t="s">
        <v>2160</v>
      </c>
      <c r="C1087" s="2" t="s">
        <v>9</v>
      </c>
      <c r="D1087" s="2" t="s">
        <v>51</v>
      </c>
      <c r="E1087" s="2" t="s">
        <v>31</v>
      </c>
      <c r="F1087" s="2">
        <v>55</v>
      </c>
      <c r="G1087" s="2" t="s">
        <v>78</v>
      </c>
      <c r="H1087" s="3" t="s">
        <v>494</v>
      </c>
      <c r="I1087" s="2"/>
      <c r="J1087" s="2" t="s">
        <v>8</v>
      </c>
      <c r="K1087" s="2">
        <v>111562</v>
      </c>
      <c r="L1087" s="2">
        <v>4</v>
      </c>
      <c r="M1087" s="2">
        <v>5</v>
      </c>
      <c r="N1087" s="2" t="s">
        <v>8</v>
      </c>
      <c r="O1087" s="2">
        <v>15</v>
      </c>
      <c r="P1087" s="2">
        <f ca="1">ROUND((IF(I1087="",TODAY(),I1087)-H1087)/365,1)</f>
        <v>10.5</v>
      </c>
      <c r="Q1087" s="2" t="str">
        <f t="shared" si="16"/>
        <v>Low</v>
      </c>
    </row>
    <row r="1088" spans="1:17" x14ac:dyDescent="0.35">
      <c r="A1088" s="2" t="s">
        <v>2914</v>
      </c>
      <c r="B1088" s="2" t="s">
        <v>330</v>
      </c>
      <c r="C1088" s="2" t="s">
        <v>5</v>
      </c>
      <c r="D1088" s="2" t="s">
        <v>102</v>
      </c>
      <c r="E1088" s="2" t="s">
        <v>46</v>
      </c>
      <c r="F1088" s="2">
        <v>43</v>
      </c>
      <c r="G1088" s="2" t="s">
        <v>56</v>
      </c>
      <c r="H1088" s="3" t="s">
        <v>2915</v>
      </c>
      <c r="I1088" s="2"/>
      <c r="J1088" s="2" t="s">
        <v>8</v>
      </c>
      <c r="K1088" s="2">
        <v>39789</v>
      </c>
      <c r="L1088" s="2">
        <v>4</v>
      </c>
      <c r="M1088" s="2">
        <v>1</v>
      </c>
      <c r="N1088" s="2" t="s">
        <v>6</v>
      </c>
      <c r="O1088" s="2">
        <v>17</v>
      </c>
      <c r="P1088" s="2">
        <f ca="1">ROUND((IF(I1088="",TODAY(),I1088)-H1088)/365,1)</f>
        <v>1.8</v>
      </c>
      <c r="Q1088" s="2" t="str">
        <f t="shared" si="16"/>
        <v>High</v>
      </c>
    </row>
    <row r="1089" spans="1:17" x14ac:dyDescent="0.35">
      <c r="A1089" s="2" t="s">
        <v>2916</v>
      </c>
      <c r="B1089" s="2" t="s">
        <v>2868</v>
      </c>
      <c r="C1089" s="2" t="s">
        <v>11</v>
      </c>
      <c r="D1089" s="2" t="s">
        <v>45</v>
      </c>
      <c r="E1089" s="2" t="s">
        <v>46</v>
      </c>
      <c r="F1089" s="2">
        <v>55</v>
      </c>
      <c r="G1089" s="2" t="s">
        <v>56</v>
      </c>
      <c r="H1089" s="3" t="s">
        <v>794</v>
      </c>
      <c r="I1089" s="2"/>
      <c r="J1089" s="2" t="s">
        <v>8</v>
      </c>
      <c r="K1089" s="2">
        <v>56626</v>
      </c>
      <c r="L1089" s="2">
        <v>5</v>
      </c>
      <c r="M1089" s="2">
        <v>5</v>
      </c>
      <c r="N1089" s="2" t="s">
        <v>6</v>
      </c>
      <c r="O1089" s="2">
        <v>24</v>
      </c>
      <c r="P1089" s="2">
        <f ca="1">ROUND((IF(I1089="",TODAY(),I1089)-H1089)/365,1)</f>
        <v>10.5</v>
      </c>
      <c r="Q1089" s="2" t="str">
        <f t="shared" si="16"/>
        <v>Medium</v>
      </c>
    </row>
    <row r="1090" spans="1:17" x14ac:dyDescent="0.35">
      <c r="A1090" s="2" t="s">
        <v>2917</v>
      </c>
      <c r="B1090" s="2" t="s">
        <v>2081</v>
      </c>
      <c r="C1090" s="2" t="s">
        <v>12</v>
      </c>
      <c r="D1090" s="2" t="s">
        <v>133</v>
      </c>
      <c r="E1090" s="2" t="s">
        <v>46</v>
      </c>
      <c r="F1090" s="2">
        <v>39</v>
      </c>
      <c r="G1090" s="2" t="s">
        <v>78</v>
      </c>
      <c r="H1090" s="3" t="s">
        <v>816</v>
      </c>
      <c r="I1090" s="2"/>
      <c r="J1090" s="2" t="s">
        <v>8</v>
      </c>
      <c r="K1090" s="2">
        <v>91561</v>
      </c>
      <c r="L1090" s="2">
        <v>3</v>
      </c>
      <c r="M1090" s="2">
        <v>3</v>
      </c>
      <c r="N1090" s="2" t="s">
        <v>8</v>
      </c>
      <c r="O1090" s="2">
        <v>41</v>
      </c>
      <c r="P1090" s="2">
        <f ca="1">ROUND((IF(I1090="",TODAY(),I1090)-H1090)/365,1)</f>
        <v>2.2000000000000002</v>
      </c>
      <c r="Q1090" s="2" t="str">
        <f t="shared" ref="Q1090:Q1153" si="17">IF(J1090="No",IF(AND(M1090&lt;=2,N1090="Yes"),"High",IF(OR(M1090&lt;=2,N1090="Yes"),"Medium","Low")),"N/A")</f>
        <v>Low</v>
      </c>
    </row>
    <row r="1091" spans="1:17" x14ac:dyDescent="0.35">
      <c r="A1091" s="2" t="s">
        <v>2918</v>
      </c>
      <c r="B1091" s="2" t="s">
        <v>1631</v>
      </c>
      <c r="C1091" s="2" t="s">
        <v>9</v>
      </c>
      <c r="D1091" s="2" t="s">
        <v>41</v>
      </c>
      <c r="E1091" s="2" t="s">
        <v>31</v>
      </c>
      <c r="F1091" s="2">
        <v>53</v>
      </c>
      <c r="G1091" s="2" t="s">
        <v>78</v>
      </c>
      <c r="H1091" s="3" t="s">
        <v>190</v>
      </c>
      <c r="I1091" s="3" t="s">
        <v>2919</v>
      </c>
      <c r="J1091" s="2" t="s">
        <v>6</v>
      </c>
      <c r="K1091" s="2">
        <v>112245</v>
      </c>
      <c r="L1091" s="2">
        <v>5</v>
      </c>
      <c r="M1091" s="2">
        <v>2</v>
      </c>
      <c r="N1091" s="2" t="s">
        <v>8</v>
      </c>
      <c r="O1091" s="2">
        <v>28</v>
      </c>
      <c r="P1091" s="2">
        <f ca="1">ROUND((IF(I1091="",TODAY(),I1091)-H1091)/365,1)</f>
        <v>8.1</v>
      </c>
      <c r="Q1091" s="2" t="str">
        <f t="shared" si="17"/>
        <v>N/A</v>
      </c>
    </row>
    <row r="1092" spans="1:17" x14ac:dyDescent="0.35">
      <c r="A1092" s="2" t="s">
        <v>2920</v>
      </c>
      <c r="B1092" s="2" t="s">
        <v>185</v>
      </c>
      <c r="C1092" s="2" t="s">
        <v>10</v>
      </c>
      <c r="D1092" s="2" t="s">
        <v>70</v>
      </c>
      <c r="E1092" s="2" t="s">
        <v>46</v>
      </c>
      <c r="F1092" s="2">
        <v>46</v>
      </c>
      <c r="G1092" s="2" t="s">
        <v>32</v>
      </c>
      <c r="H1092" s="3" t="s">
        <v>2921</v>
      </c>
      <c r="I1092" s="2"/>
      <c r="J1092" s="2" t="s">
        <v>8</v>
      </c>
      <c r="K1092" s="2">
        <v>37440</v>
      </c>
      <c r="L1092" s="2">
        <v>1</v>
      </c>
      <c r="M1092" s="2">
        <v>5</v>
      </c>
      <c r="N1092" s="2" t="s">
        <v>8</v>
      </c>
      <c r="O1092" s="2">
        <v>37</v>
      </c>
      <c r="P1092" s="2">
        <f ca="1">ROUND((IF(I1092="",TODAY(),I1092)-H1092)/365,1)</f>
        <v>11.1</v>
      </c>
      <c r="Q1092" s="2" t="str">
        <f t="shared" si="17"/>
        <v>Low</v>
      </c>
    </row>
    <row r="1093" spans="1:17" x14ac:dyDescent="0.35">
      <c r="A1093" s="2" t="s">
        <v>2922</v>
      </c>
      <c r="B1093" s="2" t="s">
        <v>2923</v>
      </c>
      <c r="C1093" s="2" t="s">
        <v>7</v>
      </c>
      <c r="D1093" s="2" t="s">
        <v>125</v>
      </c>
      <c r="E1093" s="2" t="s">
        <v>46</v>
      </c>
      <c r="F1093" s="2">
        <v>44</v>
      </c>
      <c r="G1093" s="2" t="s">
        <v>78</v>
      </c>
      <c r="H1093" s="3" t="s">
        <v>2924</v>
      </c>
      <c r="I1093" s="2"/>
      <c r="J1093" s="2" t="s">
        <v>8</v>
      </c>
      <c r="K1093" s="2">
        <v>29885</v>
      </c>
      <c r="L1093" s="2">
        <v>5</v>
      </c>
      <c r="M1093" s="2">
        <v>4</v>
      </c>
      <c r="N1093" s="2" t="s">
        <v>8</v>
      </c>
      <c r="O1093" s="2">
        <v>34</v>
      </c>
      <c r="P1093" s="2">
        <f ca="1">ROUND((IF(I1093="",TODAY(),I1093)-H1093)/365,1)</f>
        <v>4.4000000000000004</v>
      </c>
      <c r="Q1093" s="2" t="str">
        <f t="shared" si="17"/>
        <v>Low</v>
      </c>
    </row>
    <row r="1094" spans="1:17" x14ac:dyDescent="0.35">
      <c r="A1094" s="2" t="s">
        <v>2925</v>
      </c>
      <c r="B1094" s="2" t="s">
        <v>2831</v>
      </c>
      <c r="C1094" s="2" t="s">
        <v>12</v>
      </c>
      <c r="D1094" s="2" t="s">
        <v>55</v>
      </c>
      <c r="E1094" s="2" t="s">
        <v>46</v>
      </c>
      <c r="F1094" s="2">
        <v>58</v>
      </c>
      <c r="G1094" s="2" t="s">
        <v>78</v>
      </c>
      <c r="H1094" s="3" t="s">
        <v>2926</v>
      </c>
      <c r="I1094" s="2"/>
      <c r="J1094" s="2" t="s">
        <v>8</v>
      </c>
      <c r="K1094" s="2">
        <v>145674</v>
      </c>
      <c r="L1094" s="2">
        <v>1</v>
      </c>
      <c r="M1094" s="2">
        <v>3</v>
      </c>
      <c r="N1094" s="2" t="s">
        <v>6</v>
      </c>
      <c r="O1094" s="2">
        <v>19</v>
      </c>
      <c r="P1094" s="2">
        <f ca="1">ROUND((IF(I1094="",TODAY(),I1094)-H1094)/365,1)</f>
        <v>9.6</v>
      </c>
      <c r="Q1094" s="2" t="str">
        <f t="shared" si="17"/>
        <v>Medium</v>
      </c>
    </row>
    <row r="1095" spans="1:17" x14ac:dyDescent="0.35">
      <c r="A1095" s="2" t="s">
        <v>2927</v>
      </c>
      <c r="B1095" s="2" t="s">
        <v>2928</v>
      </c>
      <c r="C1095" s="2" t="s">
        <v>12</v>
      </c>
      <c r="D1095" s="2" t="s">
        <v>133</v>
      </c>
      <c r="E1095" s="2" t="s">
        <v>46</v>
      </c>
      <c r="F1095" s="2">
        <v>44</v>
      </c>
      <c r="G1095" s="2" t="s">
        <v>56</v>
      </c>
      <c r="H1095" s="3" t="s">
        <v>2929</v>
      </c>
      <c r="I1095" s="3" t="s">
        <v>959</v>
      </c>
      <c r="J1095" s="2" t="s">
        <v>6</v>
      </c>
      <c r="K1095" s="2">
        <v>116633</v>
      </c>
      <c r="L1095" s="2">
        <v>3</v>
      </c>
      <c r="M1095" s="2">
        <v>1</v>
      </c>
      <c r="N1095" s="2" t="s">
        <v>6</v>
      </c>
      <c r="O1095" s="2">
        <v>30</v>
      </c>
      <c r="P1095" s="2">
        <f ca="1">ROUND((IF(I1095="",TODAY(),I1095)-H1095)/365,1)</f>
        <v>2</v>
      </c>
      <c r="Q1095" s="2" t="str">
        <f t="shared" si="17"/>
        <v>N/A</v>
      </c>
    </row>
    <row r="1096" spans="1:17" x14ac:dyDescent="0.35">
      <c r="A1096" s="2" t="s">
        <v>2930</v>
      </c>
      <c r="B1096" s="2" t="s">
        <v>1152</v>
      </c>
      <c r="C1096" s="2" t="s">
        <v>7</v>
      </c>
      <c r="D1096" s="2" t="s">
        <v>37</v>
      </c>
      <c r="E1096" s="2" t="s">
        <v>46</v>
      </c>
      <c r="F1096" s="2">
        <v>33</v>
      </c>
      <c r="G1096" s="2" t="s">
        <v>56</v>
      </c>
      <c r="H1096" s="3" t="s">
        <v>412</v>
      </c>
      <c r="I1096" s="2"/>
      <c r="J1096" s="2" t="s">
        <v>8</v>
      </c>
      <c r="K1096" s="2">
        <v>105793</v>
      </c>
      <c r="L1096" s="2">
        <v>3</v>
      </c>
      <c r="M1096" s="2">
        <v>1</v>
      </c>
      <c r="N1096" s="2" t="s">
        <v>8</v>
      </c>
      <c r="O1096" s="2">
        <v>23</v>
      </c>
      <c r="P1096" s="2">
        <f ca="1">ROUND((IF(I1096="",TODAY(),I1096)-H1096)/365,1)</f>
        <v>2.1</v>
      </c>
      <c r="Q1096" s="2" t="str">
        <f t="shared" si="17"/>
        <v>Medium</v>
      </c>
    </row>
    <row r="1097" spans="1:17" x14ac:dyDescent="0.35">
      <c r="A1097" s="2" t="s">
        <v>2931</v>
      </c>
      <c r="B1097" s="2" t="s">
        <v>2233</v>
      </c>
      <c r="C1097" s="2" t="s">
        <v>7</v>
      </c>
      <c r="D1097" s="2" t="s">
        <v>125</v>
      </c>
      <c r="E1097" s="2" t="s">
        <v>46</v>
      </c>
      <c r="F1097" s="2">
        <v>47</v>
      </c>
      <c r="G1097" s="2" t="s">
        <v>56</v>
      </c>
      <c r="H1097" s="3" t="s">
        <v>2932</v>
      </c>
      <c r="I1097" s="2"/>
      <c r="J1097" s="2" t="s">
        <v>8</v>
      </c>
      <c r="K1097" s="2">
        <v>59692</v>
      </c>
      <c r="L1097" s="2">
        <v>4</v>
      </c>
      <c r="M1097" s="2">
        <v>2</v>
      </c>
      <c r="N1097" s="2" t="s">
        <v>8</v>
      </c>
      <c r="O1097" s="2">
        <v>13</v>
      </c>
      <c r="P1097" s="2">
        <f ca="1">ROUND((IF(I1097="",TODAY(),I1097)-H1097)/365,1)</f>
        <v>8.1</v>
      </c>
      <c r="Q1097" s="2" t="str">
        <f t="shared" si="17"/>
        <v>Medium</v>
      </c>
    </row>
    <row r="1098" spans="1:17" x14ac:dyDescent="0.35">
      <c r="A1098" s="2" t="s">
        <v>2933</v>
      </c>
      <c r="B1098" s="2" t="s">
        <v>1551</v>
      </c>
      <c r="C1098" s="2" t="s">
        <v>9</v>
      </c>
      <c r="D1098" s="2" t="s">
        <v>41</v>
      </c>
      <c r="E1098" s="2" t="s">
        <v>46</v>
      </c>
      <c r="F1098" s="2">
        <v>42</v>
      </c>
      <c r="G1098" s="2" t="s">
        <v>56</v>
      </c>
      <c r="H1098" s="3" t="s">
        <v>2934</v>
      </c>
      <c r="I1098" s="2"/>
      <c r="J1098" s="2" t="s">
        <v>8</v>
      </c>
      <c r="K1098" s="2">
        <v>116780</v>
      </c>
      <c r="L1098" s="2">
        <v>3</v>
      </c>
      <c r="M1098" s="2">
        <v>5</v>
      </c>
      <c r="N1098" s="2" t="s">
        <v>6</v>
      </c>
      <c r="O1098" s="2">
        <v>33</v>
      </c>
      <c r="P1098" s="2">
        <f ca="1">ROUND((IF(I1098="",TODAY(),I1098)-H1098)/365,1)</f>
        <v>11.4</v>
      </c>
      <c r="Q1098" s="2" t="str">
        <f t="shared" si="17"/>
        <v>Medium</v>
      </c>
    </row>
    <row r="1099" spans="1:17" x14ac:dyDescent="0.35">
      <c r="A1099" s="2" t="s">
        <v>2935</v>
      </c>
      <c r="B1099" s="2" t="s">
        <v>2936</v>
      </c>
      <c r="C1099" s="2" t="s">
        <v>11</v>
      </c>
      <c r="D1099" s="2" t="s">
        <v>98</v>
      </c>
      <c r="E1099" s="2" t="s">
        <v>31</v>
      </c>
      <c r="F1099" s="2">
        <v>26</v>
      </c>
      <c r="G1099" s="2" t="s">
        <v>56</v>
      </c>
      <c r="H1099" s="3" t="s">
        <v>2937</v>
      </c>
      <c r="I1099" s="2"/>
      <c r="J1099" s="2" t="s">
        <v>8</v>
      </c>
      <c r="K1099" s="2">
        <v>44105</v>
      </c>
      <c r="L1099" s="2">
        <v>4</v>
      </c>
      <c r="M1099" s="2">
        <v>5</v>
      </c>
      <c r="N1099" s="2" t="s">
        <v>6</v>
      </c>
      <c r="O1099" s="2">
        <v>17</v>
      </c>
      <c r="P1099" s="2">
        <f ca="1">ROUND((IF(I1099="",TODAY(),I1099)-H1099)/365,1)</f>
        <v>9.4</v>
      </c>
      <c r="Q1099" s="2" t="str">
        <f t="shared" si="17"/>
        <v>Medium</v>
      </c>
    </row>
    <row r="1100" spans="1:17" x14ac:dyDescent="0.35">
      <c r="A1100" s="2" t="s">
        <v>2938</v>
      </c>
      <c r="B1100" s="2" t="s">
        <v>602</v>
      </c>
      <c r="C1100" s="2" t="s">
        <v>9</v>
      </c>
      <c r="D1100" s="2" t="s">
        <v>41</v>
      </c>
      <c r="E1100" s="2" t="s">
        <v>31</v>
      </c>
      <c r="F1100" s="2">
        <v>40</v>
      </c>
      <c r="G1100" s="2" t="s">
        <v>32</v>
      </c>
      <c r="H1100" s="3" t="s">
        <v>2626</v>
      </c>
      <c r="I1100" s="3" t="s">
        <v>287</v>
      </c>
      <c r="J1100" s="2" t="s">
        <v>6</v>
      </c>
      <c r="K1100" s="2">
        <v>83004</v>
      </c>
      <c r="L1100" s="2">
        <v>3</v>
      </c>
      <c r="M1100" s="2">
        <v>1</v>
      </c>
      <c r="N1100" s="2" t="s">
        <v>8</v>
      </c>
      <c r="O1100" s="2">
        <v>15</v>
      </c>
      <c r="P1100" s="2">
        <f ca="1">ROUND((IF(I1100="",TODAY(),I1100)-H1100)/365,1)</f>
        <v>1</v>
      </c>
      <c r="Q1100" s="2" t="str">
        <f t="shared" si="17"/>
        <v>N/A</v>
      </c>
    </row>
    <row r="1101" spans="1:17" x14ac:dyDescent="0.35">
      <c r="A1101" s="2" t="s">
        <v>2939</v>
      </c>
      <c r="B1101" s="2" t="s">
        <v>2005</v>
      </c>
      <c r="C1101" s="2" t="s">
        <v>12</v>
      </c>
      <c r="D1101" s="2" t="s">
        <v>133</v>
      </c>
      <c r="E1101" s="2" t="s">
        <v>31</v>
      </c>
      <c r="F1101" s="2">
        <v>36</v>
      </c>
      <c r="G1101" s="2" t="s">
        <v>78</v>
      </c>
      <c r="H1101" s="3" t="s">
        <v>2840</v>
      </c>
      <c r="I1101" s="2"/>
      <c r="J1101" s="2" t="s">
        <v>8</v>
      </c>
      <c r="K1101" s="2">
        <v>26627</v>
      </c>
      <c r="L1101" s="2">
        <v>2</v>
      </c>
      <c r="M1101" s="2">
        <v>4</v>
      </c>
      <c r="N1101" s="2" t="s">
        <v>8</v>
      </c>
      <c r="O1101" s="2">
        <v>10</v>
      </c>
      <c r="P1101" s="2">
        <f ca="1">ROUND((IF(I1101="",TODAY(),I1101)-H1101)/365,1)</f>
        <v>8.9</v>
      </c>
      <c r="Q1101" s="2" t="str">
        <f t="shared" si="17"/>
        <v>Low</v>
      </c>
    </row>
    <row r="1102" spans="1:17" x14ac:dyDescent="0.35">
      <c r="A1102" s="2" t="s">
        <v>2940</v>
      </c>
      <c r="B1102" s="2" t="s">
        <v>2635</v>
      </c>
      <c r="C1102" s="2" t="s">
        <v>5</v>
      </c>
      <c r="D1102" s="2" t="s">
        <v>102</v>
      </c>
      <c r="E1102" s="2" t="s">
        <v>46</v>
      </c>
      <c r="F1102" s="2">
        <v>57</v>
      </c>
      <c r="G1102" s="2" t="s">
        <v>56</v>
      </c>
      <c r="H1102" s="3" t="s">
        <v>2941</v>
      </c>
      <c r="I1102" s="2"/>
      <c r="J1102" s="2" t="s">
        <v>8</v>
      </c>
      <c r="K1102" s="2">
        <v>136136</v>
      </c>
      <c r="L1102" s="2">
        <v>4</v>
      </c>
      <c r="M1102" s="2">
        <v>2</v>
      </c>
      <c r="N1102" s="2" t="s">
        <v>8</v>
      </c>
      <c r="O1102" s="2">
        <v>12</v>
      </c>
      <c r="P1102" s="2">
        <f ca="1">ROUND((IF(I1102="",TODAY(),I1102)-H1102)/365,1)</f>
        <v>5.4</v>
      </c>
      <c r="Q1102" s="2" t="str">
        <f t="shared" si="17"/>
        <v>Medium</v>
      </c>
    </row>
    <row r="1103" spans="1:17" x14ac:dyDescent="0.35">
      <c r="A1103" s="2" t="s">
        <v>2942</v>
      </c>
      <c r="B1103" s="2" t="s">
        <v>2456</v>
      </c>
      <c r="C1103" s="2" t="s">
        <v>12</v>
      </c>
      <c r="D1103" s="2" t="s">
        <v>55</v>
      </c>
      <c r="E1103" s="2" t="s">
        <v>46</v>
      </c>
      <c r="F1103" s="2">
        <v>38</v>
      </c>
      <c r="G1103" s="2" t="s">
        <v>32</v>
      </c>
      <c r="H1103" s="3" t="s">
        <v>2943</v>
      </c>
      <c r="I1103" s="2"/>
      <c r="J1103" s="2" t="s">
        <v>8</v>
      </c>
      <c r="K1103" s="2">
        <v>71802</v>
      </c>
      <c r="L1103" s="2">
        <v>3</v>
      </c>
      <c r="M1103" s="2">
        <v>2</v>
      </c>
      <c r="N1103" s="2" t="s">
        <v>8</v>
      </c>
      <c r="O1103" s="2">
        <v>35</v>
      </c>
      <c r="P1103" s="2">
        <f ca="1">ROUND((IF(I1103="",TODAY(),I1103)-H1103)/365,1)</f>
        <v>6.8</v>
      </c>
      <c r="Q1103" s="2" t="str">
        <f t="shared" si="17"/>
        <v>Medium</v>
      </c>
    </row>
    <row r="1104" spans="1:17" x14ac:dyDescent="0.35">
      <c r="A1104" s="2" t="s">
        <v>2944</v>
      </c>
      <c r="B1104" s="2" t="s">
        <v>2945</v>
      </c>
      <c r="C1104" s="2" t="s">
        <v>7</v>
      </c>
      <c r="D1104" s="2" t="s">
        <v>125</v>
      </c>
      <c r="E1104" s="2" t="s">
        <v>31</v>
      </c>
      <c r="F1104" s="2">
        <v>30</v>
      </c>
      <c r="G1104" s="2" t="s">
        <v>32</v>
      </c>
      <c r="H1104" s="3" t="s">
        <v>2946</v>
      </c>
      <c r="I1104" s="2"/>
      <c r="J1104" s="2" t="s">
        <v>8</v>
      </c>
      <c r="K1104" s="2">
        <v>66089</v>
      </c>
      <c r="L1104" s="2">
        <v>4</v>
      </c>
      <c r="M1104" s="2">
        <v>5</v>
      </c>
      <c r="N1104" s="2" t="s">
        <v>8</v>
      </c>
      <c r="O1104" s="2">
        <v>35</v>
      </c>
      <c r="P1104" s="2">
        <f ca="1">ROUND((IF(I1104="",TODAY(),I1104)-H1104)/365,1)</f>
        <v>10.5</v>
      </c>
      <c r="Q1104" s="2" t="str">
        <f t="shared" si="17"/>
        <v>Low</v>
      </c>
    </row>
    <row r="1105" spans="1:17" x14ac:dyDescent="0.35">
      <c r="A1105" s="2" t="s">
        <v>2947</v>
      </c>
      <c r="B1105" s="2" t="s">
        <v>1488</v>
      </c>
      <c r="C1105" s="2" t="s">
        <v>11</v>
      </c>
      <c r="D1105" s="2" t="s">
        <v>45</v>
      </c>
      <c r="E1105" s="2" t="s">
        <v>46</v>
      </c>
      <c r="F1105" s="2">
        <v>51</v>
      </c>
      <c r="G1105" s="2" t="s">
        <v>78</v>
      </c>
      <c r="H1105" s="3" t="s">
        <v>2948</v>
      </c>
      <c r="I1105" s="2"/>
      <c r="J1105" s="2" t="s">
        <v>8</v>
      </c>
      <c r="K1105" s="2">
        <v>82392</v>
      </c>
      <c r="L1105" s="2">
        <v>4</v>
      </c>
      <c r="M1105" s="2">
        <v>1</v>
      </c>
      <c r="N1105" s="2" t="s">
        <v>8</v>
      </c>
      <c r="O1105" s="2">
        <v>40</v>
      </c>
      <c r="P1105" s="2">
        <f ca="1">ROUND((IF(I1105="",TODAY(),I1105)-H1105)/365,1)</f>
        <v>8.6</v>
      </c>
      <c r="Q1105" s="2" t="str">
        <f t="shared" si="17"/>
        <v>Medium</v>
      </c>
    </row>
    <row r="1106" spans="1:17" x14ac:dyDescent="0.35">
      <c r="A1106" s="2" t="s">
        <v>2949</v>
      </c>
      <c r="B1106" s="2" t="s">
        <v>2157</v>
      </c>
      <c r="C1106" s="2" t="s">
        <v>5</v>
      </c>
      <c r="D1106" s="2" t="s">
        <v>94</v>
      </c>
      <c r="E1106" s="2" t="s">
        <v>31</v>
      </c>
      <c r="F1106" s="2">
        <v>57</v>
      </c>
      <c r="G1106" s="2" t="s">
        <v>56</v>
      </c>
      <c r="H1106" s="3" t="s">
        <v>2950</v>
      </c>
      <c r="I1106" s="2"/>
      <c r="J1106" s="2" t="s">
        <v>8</v>
      </c>
      <c r="K1106" s="2">
        <v>33359</v>
      </c>
      <c r="L1106" s="2">
        <v>4</v>
      </c>
      <c r="M1106" s="2">
        <v>3</v>
      </c>
      <c r="N1106" s="2" t="s">
        <v>6</v>
      </c>
      <c r="O1106" s="2">
        <v>10</v>
      </c>
      <c r="P1106" s="2">
        <f ca="1">ROUND((IF(I1106="",TODAY(),I1106)-H1106)/365,1)</f>
        <v>4.3</v>
      </c>
      <c r="Q1106" s="2" t="str">
        <f t="shared" si="17"/>
        <v>Medium</v>
      </c>
    </row>
    <row r="1107" spans="1:17" x14ac:dyDescent="0.35">
      <c r="A1107" s="2" t="s">
        <v>2951</v>
      </c>
      <c r="B1107" s="2" t="s">
        <v>742</v>
      </c>
      <c r="C1107" s="2" t="s">
        <v>12</v>
      </c>
      <c r="D1107" s="2" t="s">
        <v>133</v>
      </c>
      <c r="E1107" s="2" t="s">
        <v>46</v>
      </c>
      <c r="F1107" s="2">
        <v>53</v>
      </c>
      <c r="G1107" s="2" t="s">
        <v>78</v>
      </c>
      <c r="H1107" s="3" t="s">
        <v>2204</v>
      </c>
      <c r="I1107" s="3" t="s">
        <v>2095</v>
      </c>
      <c r="J1107" s="2" t="s">
        <v>6</v>
      </c>
      <c r="K1107" s="2">
        <v>111743</v>
      </c>
      <c r="L1107" s="2">
        <v>4</v>
      </c>
      <c r="M1107" s="2">
        <v>2</v>
      </c>
      <c r="N1107" s="2" t="s">
        <v>8</v>
      </c>
      <c r="O1107" s="2">
        <v>14</v>
      </c>
      <c r="P1107" s="2">
        <f ca="1">ROUND((IF(I1107="",TODAY(),I1107)-H1107)/365,1)</f>
        <v>3.6</v>
      </c>
      <c r="Q1107" s="2" t="str">
        <f t="shared" si="17"/>
        <v>N/A</v>
      </c>
    </row>
    <row r="1108" spans="1:17" x14ac:dyDescent="0.35">
      <c r="A1108" s="2" t="s">
        <v>2952</v>
      </c>
      <c r="B1108" s="2" t="s">
        <v>1029</v>
      </c>
      <c r="C1108" s="2" t="s">
        <v>9</v>
      </c>
      <c r="D1108" s="2" t="s">
        <v>51</v>
      </c>
      <c r="E1108" s="2" t="s">
        <v>46</v>
      </c>
      <c r="F1108" s="2">
        <v>42</v>
      </c>
      <c r="G1108" s="2" t="s">
        <v>32</v>
      </c>
      <c r="H1108" s="3" t="s">
        <v>1349</v>
      </c>
      <c r="I1108" s="2"/>
      <c r="J1108" s="2" t="s">
        <v>8</v>
      </c>
      <c r="K1108" s="2">
        <v>101997</v>
      </c>
      <c r="L1108" s="2">
        <v>1</v>
      </c>
      <c r="M1108" s="2">
        <v>5</v>
      </c>
      <c r="N1108" s="2" t="s">
        <v>6</v>
      </c>
      <c r="O1108" s="2">
        <v>23</v>
      </c>
      <c r="P1108" s="2">
        <f ca="1">ROUND((IF(I1108="",TODAY(),I1108)-H1108)/365,1)</f>
        <v>1.9</v>
      </c>
      <c r="Q1108" s="2" t="str">
        <f t="shared" si="17"/>
        <v>Medium</v>
      </c>
    </row>
    <row r="1109" spans="1:17" x14ac:dyDescent="0.35">
      <c r="A1109" s="2" t="s">
        <v>2953</v>
      </c>
      <c r="B1109" s="2" t="s">
        <v>2954</v>
      </c>
      <c r="C1109" s="2" t="s">
        <v>5</v>
      </c>
      <c r="D1109" s="2" t="s">
        <v>102</v>
      </c>
      <c r="E1109" s="2" t="s">
        <v>31</v>
      </c>
      <c r="F1109" s="2">
        <v>32</v>
      </c>
      <c r="G1109" s="2" t="s">
        <v>56</v>
      </c>
      <c r="H1109" s="3" t="s">
        <v>2955</v>
      </c>
      <c r="I1109" s="2"/>
      <c r="J1109" s="2" t="s">
        <v>8</v>
      </c>
      <c r="K1109" s="2">
        <v>28864</v>
      </c>
      <c r="L1109" s="2">
        <v>2</v>
      </c>
      <c r="M1109" s="2">
        <v>5</v>
      </c>
      <c r="N1109" s="2" t="s">
        <v>6</v>
      </c>
      <c r="O1109" s="2">
        <v>12</v>
      </c>
      <c r="P1109" s="2">
        <f ca="1">ROUND((IF(I1109="",TODAY(),I1109)-H1109)/365,1)</f>
        <v>3.4</v>
      </c>
      <c r="Q1109" s="2" t="str">
        <f t="shared" si="17"/>
        <v>Medium</v>
      </c>
    </row>
    <row r="1110" spans="1:17" x14ac:dyDescent="0.35">
      <c r="A1110" s="2" t="s">
        <v>2956</v>
      </c>
      <c r="B1110" s="2" t="s">
        <v>1982</v>
      </c>
      <c r="C1110" s="2" t="s">
        <v>12</v>
      </c>
      <c r="D1110" s="2" t="s">
        <v>30</v>
      </c>
      <c r="E1110" s="2" t="s">
        <v>46</v>
      </c>
      <c r="F1110" s="2">
        <v>47</v>
      </c>
      <c r="G1110" s="2" t="s">
        <v>78</v>
      </c>
      <c r="H1110" s="3" t="s">
        <v>244</v>
      </c>
      <c r="I1110" s="3" t="s">
        <v>2821</v>
      </c>
      <c r="J1110" s="2" t="s">
        <v>6</v>
      </c>
      <c r="K1110" s="2">
        <v>116280</v>
      </c>
      <c r="L1110" s="2">
        <v>4</v>
      </c>
      <c r="M1110" s="2">
        <v>4</v>
      </c>
      <c r="N1110" s="2" t="s">
        <v>8</v>
      </c>
      <c r="O1110" s="2">
        <v>25</v>
      </c>
      <c r="P1110" s="2">
        <f ca="1">ROUND((IF(I1110="",TODAY(),I1110)-H1110)/365,1)</f>
        <v>2.1</v>
      </c>
      <c r="Q1110" s="2" t="str">
        <f t="shared" si="17"/>
        <v>N/A</v>
      </c>
    </row>
    <row r="1111" spans="1:17" x14ac:dyDescent="0.35">
      <c r="A1111" s="2" t="s">
        <v>2957</v>
      </c>
      <c r="B1111" s="2" t="s">
        <v>952</v>
      </c>
      <c r="C1111" s="2" t="s">
        <v>7</v>
      </c>
      <c r="D1111" s="2" t="s">
        <v>155</v>
      </c>
      <c r="E1111" s="2" t="s">
        <v>46</v>
      </c>
      <c r="F1111" s="2">
        <v>49</v>
      </c>
      <c r="G1111" s="2" t="s">
        <v>32</v>
      </c>
      <c r="H1111" s="3" t="s">
        <v>1565</v>
      </c>
      <c r="I1111" s="3" t="s">
        <v>2958</v>
      </c>
      <c r="J1111" s="2" t="s">
        <v>6</v>
      </c>
      <c r="K1111" s="2">
        <v>77615</v>
      </c>
      <c r="L1111" s="2">
        <v>2</v>
      </c>
      <c r="M1111" s="2">
        <v>1</v>
      </c>
      <c r="N1111" s="2" t="s">
        <v>6</v>
      </c>
      <c r="O1111" s="2">
        <v>17</v>
      </c>
      <c r="P1111" s="2">
        <f ca="1">ROUND((IF(I1111="",TODAY(),I1111)-H1111)/365,1)</f>
        <v>0.4</v>
      </c>
      <c r="Q1111" s="2" t="str">
        <f t="shared" si="17"/>
        <v>N/A</v>
      </c>
    </row>
    <row r="1112" spans="1:17" x14ac:dyDescent="0.35">
      <c r="A1112" s="2" t="s">
        <v>2959</v>
      </c>
      <c r="B1112" s="2" t="s">
        <v>128</v>
      </c>
      <c r="C1112" s="2" t="s">
        <v>9</v>
      </c>
      <c r="D1112" s="2" t="s">
        <v>41</v>
      </c>
      <c r="E1112" s="2" t="s">
        <v>31</v>
      </c>
      <c r="F1112" s="2">
        <v>23</v>
      </c>
      <c r="G1112" s="2" t="s">
        <v>32</v>
      </c>
      <c r="H1112" s="3" t="s">
        <v>2960</v>
      </c>
      <c r="I1112" s="3" t="s">
        <v>2961</v>
      </c>
      <c r="J1112" s="2" t="s">
        <v>6</v>
      </c>
      <c r="K1112" s="2">
        <v>73909</v>
      </c>
      <c r="L1112" s="2">
        <v>1</v>
      </c>
      <c r="M1112" s="2">
        <v>5</v>
      </c>
      <c r="N1112" s="2" t="s">
        <v>8</v>
      </c>
      <c r="O1112" s="2">
        <v>44</v>
      </c>
      <c r="P1112" s="2">
        <f ca="1">ROUND((IF(I1112="",TODAY(),I1112)-H1112)/365,1)</f>
        <v>1.6</v>
      </c>
      <c r="Q1112" s="2" t="str">
        <f t="shared" si="17"/>
        <v>N/A</v>
      </c>
    </row>
    <row r="1113" spans="1:17" x14ac:dyDescent="0.35">
      <c r="A1113" s="2" t="s">
        <v>2962</v>
      </c>
      <c r="B1113" s="2" t="s">
        <v>2963</v>
      </c>
      <c r="C1113" s="2" t="s">
        <v>5</v>
      </c>
      <c r="D1113" s="2" t="s">
        <v>94</v>
      </c>
      <c r="E1113" s="2" t="s">
        <v>46</v>
      </c>
      <c r="F1113" s="2">
        <v>23</v>
      </c>
      <c r="G1113" s="2" t="s">
        <v>32</v>
      </c>
      <c r="H1113" s="3" t="s">
        <v>2964</v>
      </c>
      <c r="I1113" s="2"/>
      <c r="J1113" s="2" t="s">
        <v>8</v>
      </c>
      <c r="K1113" s="2">
        <v>47595</v>
      </c>
      <c r="L1113" s="2">
        <v>3</v>
      </c>
      <c r="M1113" s="2">
        <v>5</v>
      </c>
      <c r="N1113" s="2" t="s">
        <v>8</v>
      </c>
      <c r="O1113" s="2">
        <v>5</v>
      </c>
      <c r="P1113" s="2">
        <f ca="1">ROUND((IF(I1113="",TODAY(),I1113)-H1113)/365,1)</f>
        <v>2.6</v>
      </c>
      <c r="Q1113" s="2" t="str">
        <f t="shared" si="17"/>
        <v>Low</v>
      </c>
    </row>
    <row r="1114" spans="1:17" x14ac:dyDescent="0.35">
      <c r="A1114" s="2" t="s">
        <v>2965</v>
      </c>
      <c r="B1114" s="2" t="s">
        <v>628</v>
      </c>
      <c r="C1114" s="2" t="s">
        <v>10</v>
      </c>
      <c r="D1114" s="2" t="s">
        <v>111</v>
      </c>
      <c r="E1114" s="2" t="s">
        <v>31</v>
      </c>
      <c r="F1114" s="2">
        <v>31</v>
      </c>
      <c r="G1114" s="2" t="s">
        <v>32</v>
      </c>
      <c r="H1114" s="3" t="s">
        <v>2966</v>
      </c>
      <c r="I1114" s="2"/>
      <c r="J1114" s="2" t="s">
        <v>8</v>
      </c>
      <c r="K1114" s="2">
        <v>91496</v>
      </c>
      <c r="L1114" s="2">
        <v>4</v>
      </c>
      <c r="M1114" s="2">
        <v>2</v>
      </c>
      <c r="N1114" s="2" t="s">
        <v>8</v>
      </c>
      <c r="O1114" s="2">
        <v>12</v>
      </c>
      <c r="P1114" s="2">
        <f ca="1">ROUND((IF(I1114="",TODAY(),I1114)-H1114)/365,1)</f>
        <v>4.9000000000000004</v>
      </c>
      <c r="Q1114" s="2" t="str">
        <f t="shared" si="17"/>
        <v>Medium</v>
      </c>
    </row>
    <row r="1115" spans="1:17" x14ac:dyDescent="0.35">
      <c r="A1115" s="2" t="s">
        <v>2967</v>
      </c>
      <c r="B1115" s="2" t="s">
        <v>2968</v>
      </c>
      <c r="C1115" s="2" t="s">
        <v>10</v>
      </c>
      <c r="D1115" s="2" t="s">
        <v>111</v>
      </c>
      <c r="E1115" s="2" t="s">
        <v>31</v>
      </c>
      <c r="F1115" s="2">
        <v>41</v>
      </c>
      <c r="G1115" s="2" t="s">
        <v>32</v>
      </c>
      <c r="H1115" s="3" t="s">
        <v>2969</v>
      </c>
      <c r="I1115" s="2"/>
      <c r="J1115" s="2" t="s">
        <v>8</v>
      </c>
      <c r="K1115" s="2">
        <v>92959</v>
      </c>
      <c r="L1115" s="2">
        <v>2</v>
      </c>
      <c r="M1115" s="2">
        <v>3</v>
      </c>
      <c r="N1115" s="2" t="s">
        <v>6</v>
      </c>
      <c r="O1115" s="2">
        <v>38</v>
      </c>
      <c r="P1115" s="2">
        <f ca="1">ROUND((IF(I1115="",TODAY(),I1115)-H1115)/365,1)</f>
        <v>1.1000000000000001</v>
      </c>
      <c r="Q1115" s="2" t="str">
        <f t="shared" si="17"/>
        <v>Medium</v>
      </c>
    </row>
    <row r="1116" spans="1:17" x14ac:dyDescent="0.35">
      <c r="A1116" s="2" t="s">
        <v>2970</v>
      </c>
      <c r="B1116" s="2" t="s">
        <v>1906</v>
      </c>
      <c r="C1116" s="2" t="s">
        <v>10</v>
      </c>
      <c r="D1116" s="2" t="s">
        <v>111</v>
      </c>
      <c r="E1116" s="2" t="s">
        <v>31</v>
      </c>
      <c r="F1116" s="2">
        <v>51</v>
      </c>
      <c r="G1116" s="2" t="s">
        <v>56</v>
      </c>
      <c r="H1116" s="3" t="s">
        <v>2971</v>
      </c>
      <c r="I1116" s="3" t="s">
        <v>1347</v>
      </c>
      <c r="J1116" s="2" t="s">
        <v>6</v>
      </c>
      <c r="K1116" s="2">
        <v>112648</v>
      </c>
      <c r="L1116" s="2">
        <v>4</v>
      </c>
      <c r="M1116" s="2">
        <v>4</v>
      </c>
      <c r="N1116" s="2" t="s">
        <v>8</v>
      </c>
      <c r="O1116" s="2">
        <v>8</v>
      </c>
      <c r="P1116" s="2">
        <f ca="1">ROUND((IF(I1116="",TODAY(),I1116)-H1116)/365,1)</f>
        <v>0.5</v>
      </c>
      <c r="Q1116" s="2" t="str">
        <f t="shared" si="17"/>
        <v>N/A</v>
      </c>
    </row>
    <row r="1117" spans="1:17" x14ac:dyDescent="0.35">
      <c r="A1117" s="2" t="s">
        <v>2972</v>
      </c>
      <c r="B1117" s="2" t="s">
        <v>978</v>
      </c>
      <c r="C1117" s="2" t="s">
        <v>9</v>
      </c>
      <c r="D1117" s="2" t="s">
        <v>51</v>
      </c>
      <c r="E1117" s="2" t="s">
        <v>31</v>
      </c>
      <c r="F1117" s="2">
        <v>47</v>
      </c>
      <c r="G1117" s="2" t="s">
        <v>56</v>
      </c>
      <c r="H1117" s="3" t="s">
        <v>2973</v>
      </c>
      <c r="I1117" s="3" t="s">
        <v>2974</v>
      </c>
      <c r="J1117" s="2" t="s">
        <v>6</v>
      </c>
      <c r="K1117" s="2">
        <v>136119</v>
      </c>
      <c r="L1117" s="2">
        <v>5</v>
      </c>
      <c r="M1117" s="2">
        <v>4</v>
      </c>
      <c r="N1117" s="2" t="s">
        <v>8</v>
      </c>
      <c r="O1117" s="2">
        <v>7</v>
      </c>
      <c r="P1117" s="2">
        <f ca="1">ROUND((IF(I1117="",TODAY(),I1117)-H1117)/365,1)</f>
        <v>7.5</v>
      </c>
      <c r="Q1117" s="2" t="str">
        <f t="shared" si="17"/>
        <v>N/A</v>
      </c>
    </row>
    <row r="1118" spans="1:17" x14ac:dyDescent="0.35">
      <c r="A1118" s="2" t="s">
        <v>2975</v>
      </c>
      <c r="B1118" s="2" t="s">
        <v>611</v>
      </c>
      <c r="C1118" s="2" t="s">
        <v>9</v>
      </c>
      <c r="D1118" s="2" t="s">
        <v>77</v>
      </c>
      <c r="E1118" s="2" t="s">
        <v>46</v>
      </c>
      <c r="F1118" s="2">
        <v>40</v>
      </c>
      <c r="G1118" s="2" t="s">
        <v>78</v>
      </c>
      <c r="H1118" s="3" t="s">
        <v>2976</v>
      </c>
      <c r="I1118" s="3" t="s">
        <v>1346</v>
      </c>
      <c r="J1118" s="2" t="s">
        <v>6</v>
      </c>
      <c r="K1118" s="2">
        <v>80878</v>
      </c>
      <c r="L1118" s="2">
        <v>3</v>
      </c>
      <c r="M1118" s="2">
        <v>2</v>
      </c>
      <c r="N1118" s="2" t="s">
        <v>6</v>
      </c>
      <c r="O1118" s="2">
        <v>41</v>
      </c>
      <c r="P1118" s="2">
        <f ca="1">ROUND((IF(I1118="",TODAY(),I1118)-H1118)/365,1)</f>
        <v>1.1000000000000001</v>
      </c>
      <c r="Q1118" s="2" t="str">
        <f t="shared" si="17"/>
        <v>N/A</v>
      </c>
    </row>
    <row r="1119" spans="1:17" x14ac:dyDescent="0.35">
      <c r="A1119" s="2" t="s">
        <v>2977</v>
      </c>
      <c r="B1119" s="2" t="s">
        <v>2598</v>
      </c>
      <c r="C1119" s="2" t="s">
        <v>10</v>
      </c>
      <c r="D1119" s="2" t="s">
        <v>111</v>
      </c>
      <c r="E1119" s="2" t="s">
        <v>46</v>
      </c>
      <c r="F1119" s="2">
        <v>57</v>
      </c>
      <c r="G1119" s="2" t="s">
        <v>56</v>
      </c>
      <c r="H1119" s="3" t="s">
        <v>2382</v>
      </c>
      <c r="I1119" s="2"/>
      <c r="J1119" s="2" t="s">
        <v>8</v>
      </c>
      <c r="K1119" s="2">
        <v>126035</v>
      </c>
      <c r="L1119" s="2">
        <v>4</v>
      </c>
      <c r="M1119" s="2">
        <v>3</v>
      </c>
      <c r="N1119" s="2" t="s">
        <v>8</v>
      </c>
      <c r="O1119" s="2">
        <v>19</v>
      </c>
      <c r="P1119" s="2">
        <f ca="1">ROUND((IF(I1119="",TODAY(),I1119)-H1119)/365,1)</f>
        <v>6.2</v>
      </c>
      <c r="Q1119" s="2" t="str">
        <f t="shared" si="17"/>
        <v>Low</v>
      </c>
    </row>
    <row r="1120" spans="1:17" x14ac:dyDescent="0.35">
      <c r="A1120" s="2" t="s">
        <v>2978</v>
      </c>
      <c r="B1120" s="2" t="s">
        <v>2097</v>
      </c>
      <c r="C1120" s="2" t="s">
        <v>11</v>
      </c>
      <c r="D1120" s="2" t="s">
        <v>45</v>
      </c>
      <c r="E1120" s="2" t="s">
        <v>31</v>
      </c>
      <c r="F1120" s="2">
        <v>58</v>
      </c>
      <c r="G1120" s="2" t="s">
        <v>32</v>
      </c>
      <c r="H1120" s="3" t="s">
        <v>2979</v>
      </c>
      <c r="I1120" s="2"/>
      <c r="J1120" s="2" t="s">
        <v>8</v>
      </c>
      <c r="K1120" s="2">
        <v>28665</v>
      </c>
      <c r="L1120" s="2">
        <v>1</v>
      </c>
      <c r="M1120" s="2">
        <v>3</v>
      </c>
      <c r="N1120" s="2" t="s">
        <v>6</v>
      </c>
      <c r="O1120" s="2">
        <v>35</v>
      </c>
      <c r="P1120" s="2">
        <f ca="1">ROUND((IF(I1120="",TODAY(),I1120)-H1120)/365,1)</f>
        <v>5.5</v>
      </c>
      <c r="Q1120" s="2" t="str">
        <f t="shared" si="17"/>
        <v>Medium</v>
      </c>
    </row>
    <row r="1121" spans="1:17" x14ac:dyDescent="0.35">
      <c r="A1121" s="2" t="s">
        <v>2980</v>
      </c>
      <c r="B1121" s="2" t="s">
        <v>306</v>
      </c>
      <c r="C1121" s="2" t="s">
        <v>10</v>
      </c>
      <c r="D1121" s="2" t="s">
        <v>111</v>
      </c>
      <c r="E1121" s="2" t="s">
        <v>46</v>
      </c>
      <c r="F1121" s="2">
        <v>49</v>
      </c>
      <c r="G1121" s="2" t="s">
        <v>56</v>
      </c>
      <c r="H1121" s="3" t="s">
        <v>592</v>
      </c>
      <c r="I1121" s="3" t="s">
        <v>2981</v>
      </c>
      <c r="J1121" s="2" t="s">
        <v>6</v>
      </c>
      <c r="K1121" s="2">
        <v>114277</v>
      </c>
      <c r="L1121" s="2">
        <v>5</v>
      </c>
      <c r="M1121" s="2">
        <v>2</v>
      </c>
      <c r="N1121" s="2" t="s">
        <v>8</v>
      </c>
      <c r="O1121" s="2">
        <v>24</v>
      </c>
      <c r="P1121" s="2">
        <f ca="1">ROUND((IF(I1121="",TODAY(),I1121)-H1121)/365,1)</f>
        <v>1.4</v>
      </c>
      <c r="Q1121" s="2" t="str">
        <f t="shared" si="17"/>
        <v>N/A</v>
      </c>
    </row>
    <row r="1122" spans="1:17" x14ac:dyDescent="0.35">
      <c r="A1122" s="2" t="s">
        <v>2982</v>
      </c>
      <c r="B1122" s="2" t="s">
        <v>1584</v>
      </c>
      <c r="C1122" s="2" t="s">
        <v>5</v>
      </c>
      <c r="D1122" s="2" t="s">
        <v>207</v>
      </c>
      <c r="E1122" s="2" t="s">
        <v>31</v>
      </c>
      <c r="F1122" s="2">
        <v>26</v>
      </c>
      <c r="G1122" s="2" t="s">
        <v>32</v>
      </c>
      <c r="H1122" s="3" t="s">
        <v>2983</v>
      </c>
      <c r="I1122" s="3" t="s">
        <v>2984</v>
      </c>
      <c r="J1122" s="2" t="s">
        <v>6</v>
      </c>
      <c r="K1122" s="2">
        <v>105349</v>
      </c>
      <c r="L1122" s="2">
        <v>5</v>
      </c>
      <c r="M1122" s="2">
        <v>2</v>
      </c>
      <c r="N1122" s="2" t="s">
        <v>6</v>
      </c>
      <c r="O1122" s="2">
        <v>41</v>
      </c>
      <c r="P1122" s="2">
        <f ca="1">ROUND((IF(I1122="",TODAY(),I1122)-H1122)/365,1)</f>
        <v>2.2999999999999998</v>
      </c>
      <c r="Q1122" s="2" t="str">
        <f t="shared" si="17"/>
        <v>N/A</v>
      </c>
    </row>
    <row r="1123" spans="1:17" x14ac:dyDescent="0.35">
      <c r="A1123" s="2" t="s">
        <v>2985</v>
      </c>
      <c r="B1123" s="2" t="s">
        <v>2986</v>
      </c>
      <c r="C1123" s="2" t="s">
        <v>7</v>
      </c>
      <c r="D1123" s="2" t="s">
        <v>37</v>
      </c>
      <c r="E1123" s="2" t="s">
        <v>31</v>
      </c>
      <c r="F1123" s="2">
        <v>37</v>
      </c>
      <c r="G1123" s="2" t="s">
        <v>32</v>
      </c>
      <c r="H1123" s="3" t="s">
        <v>2642</v>
      </c>
      <c r="I1123" s="2"/>
      <c r="J1123" s="2" t="s">
        <v>8</v>
      </c>
      <c r="K1123" s="2">
        <v>133340</v>
      </c>
      <c r="L1123" s="2">
        <v>2</v>
      </c>
      <c r="M1123" s="2">
        <v>3</v>
      </c>
      <c r="N1123" s="2" t="s">
        <v>8</v>
      </c>
      <c r="O1123" s="2">
        <v>25</v>
      </c>
      <c r="P1123" s="2">
        <f ca="1">ROUND((IF(I1123="",TODAY(),I1123)-H1123)/365,1)</f>
        <v>4.2</v>
      </c>
      <c r="Q1123" s="2" t="str">
        <f t="shared" si="17"/>
        <v>Low</v>
      </c>
    </row>
    <row r="1124" spans="1:17" x14ac:dyDescent="0.35">
      <c r="A1124" s="2" t="s">
        <v>2987</v>
      </c>
      <c r="B1124" s="2" t="s">
        <v>2988</v>
      </c>
      <c r="C1124" s="2" t="s">
        <v>10</v>
      </c>
      <c r="D1124" s="2" t="s">
        <v>111</v>
      </c>
      <c r="E1124" s="2" t="s">
        <v>31</v>
      </c>
      <c r="F1124" s="2">
        <v>37</v>
      </c>
      <c r="G1124" s="2" t="s">
        <v>32</v>
      </c>
      <c r="H1124" s="3" t="s">
        <v>2989</v>
      </c>
      <c r="I1124" s="2"/>
      <c r="J1124" s="2" t="s">
        <v>8</v>
      </c>
      <c r="K1124" s="2">
        <v>65598</v>
      </c>
      <c r="L1124" s="2">
        <v>5</v>
      </c>
      <c r="M1124" s="2">
        <v>4</v>
      </c>
      <c r="N1124" s="2" t="s">
        <v>8</v>
      </c>
      <c r="O1124" s="2">
        <v>41</v>
      </c>
      <c r="P1124" s="2">
        <f ca="1">ROUND((IF(I1124="",TODAY(),I1124)-H1124)/365,1)</f>
        <v>4.5999999999999996</v>
      </c>
      <c r="Q1124" s="2" t="str">
        <f t="shared" si="17"/>
        <v>Low</v>
      </c>
    </row>
    <row r="1125" spans="1:17" x14ac:dyDescent="0.35">
      <c r="A1125" s="2" t="s">
        <v>2990</v>
      </c>
      <c r="B1125" s="2" t="s">
        <v>1823</v>
      </c>
      <c r="C1125" s="2" t="s">
        <v>12</v>
      </c>
      <c r="D1125" s="2" t="s">
        <v>55</v>
      </c>
      <c r="E1125" s="2" t="s">
        <v>46</v>
      </c>
      <c r="F1125" s="2">
        <v>48</v>
      </c>
      <c r="G1125" s="2" t="s">
        <v>56</v>
      </c>
      <c r="H1125" s="3" t="s">
        <v>2991</v>
      </c>
      <c r="I1125" s="3" t="s">
        <v>2992</v>
      </c>
      <c r="J1125" s="2" t="s">
        <v>6</v>
      </c>
      <c r="K1125" s="2">
        <v>58216</v>
      </c>
      <c r="L1125" s="2">
        <v>2</v>
      </c>
      <c r="M1125" s="2">
        <v>3</v>
      </c>
      <c r="N1125" s="2" t="s">
        <v>8</v>
      </c>
      <c r="O1125" s="2">
        <v>32</v>
      </c>
      <c r="P1125" s="2">
        <f ca="1">ROUND((IF(I1125="",TODAY(),I1125)-H1125)/365,1)</f>
        <v>2.1</v>
      </c>
      <c r="Q1125" s="2" t="str">
        <f t="shared" si="17"/>
        <v>N/A</v>
      </c>
    </row>
    <row r="1126" spans="1:17" x14ac:dyDescent="0.35">
      <c r="A1126" s="2" t="s">
        <v>2993</v>
      </c>
      <c r="B1126" s="2" t="s">
        <v>2173</v>
      </c>
      <c r="C1126" s="2" t="s">
        <v>10</v>
      </c>
      <c r="D1126" s="2" t="s">
        <v>111</v>
      </c>
      <c r="E1126" s="2" t="s">
        <v>46</v>
      </c>
      <c r="F1126" s="2">
        <v>26</v>
      </c>
      <c r="G1126" s="2" t="s">
        <v>56</v>
      </c>
      <c r="H1126" s="3" t="s">
        <v>2175</v>
      </c>
      <c r="I1126" s="3" t="s">
        <v>2994</v>
      </c>
      <c r="J1126" s="2" t="s">
        <v>6</v>
      </c>
      <c r="K1126" s="2">
        <v>49033</v>
      </c>
      <c r="L1126" s="2">
        <v>4</v>
      </c>
      <c r="M1126" s="2">
        <v>2</v>
      </c>
      <c r="N1126" s="2" t="s">
        <v>6</v>
      </c>
      <c r="O1126" s="2">
        <v>5</v>
      </c>
      <c r="P1126" s="2">
        <f ca="1">ROUND((IF(I1126="",TODAY(),I1126)-H1126)/365,1)</f>
        <v>4.3</v>
      </c>
      <c r="Q1126" s="2" t="str">
        <f t="shared" si="17"/>
        <v>N/A</v>
      </c>
    </row>
    <row r="1127" spans="1:17" x14ac:dyDescent="0.35">
      <c r="A1127" s="2" t="s">
        <v>2995</v>
      </c>
      <c r="B1127" s="2" t="s">
        <v>2650</v>
      </c>
      <c r="C1127" s="2" t="s">
        <v>9</v>
      </c>
      <c r="D1127" s="2" t="s">
        <v>77</v>
      </c>
      <c r="E1127" s="2" t="s">
        <v>46</v>
      </c>
      <c r="F1127" s="2">
        <v>40</v>
      </c>
      <c r="G1127" s="2" t="s">
        <v>32</v>
      </c>
      <c r="H1127" s="3" t="s">
        <v>2996</v>
      </c>
      <c r="I1127" s="2"/>
      <c r="J1127" s="2" t="s">
        <v>8</v>
      </c>
      <c r="K1127" s="2">
        <v>76761</v>
      </c>
      <c r="L1127" s="2">
        <v>1</v>
      </c>
      <c r="M1127" s="2">
        <v>3</v>
      </c>
      <c r="N1127" s="2" t="s">
        <v>8</v>
      </c>
      <c r="O1127" s="2">
        <v>8</v>
      </c>
      <c r="P1127" s="2">
        <f ca="1">ROUND((IF(I1127="",TODAY(),I1127)-H1127)/365,1)</f>
        <v>8.4</v>
      </c>
      <c r="Q1127" s="2" t="str">
        <f t="shared" si="17"/>
        <v>Low</v>
      </c>
    </row>
    <row r="1128" spans="1:17" x14ac:dyDescent="0.35">
      <c r="A1128" s="2" t="s">
        <v>2997</v>
      </c>
      <c r="B1128" s="2" t="s">
        <v>573</v>
      </c>
      <c r="C1128" s="2" t="s">
        <v>11</v>
      </c>
      <c r="D1128" s="2" t="s">
        <v>66</v>
      </c>
      <c r="E1128" s="2" t="s">
        <v>31</v>
      </c>
      <c r="F1128" s="2">
        <v>24</v>
      </c>
      <c r="G1128" s="2" t="s">
        <v>78</v>
      </c>
      <c r="H1128" s="3" t="s">
        <v>2998</v>
      </c>
      <c r="I1128" s="3" t="s">
        <v>1808</v>
      </c>
      <c r="J1128" s="2" t="s">
        <v>6</v>
      </c>
      <c r="K1128" s="2">
        <v>134195</v>
      </c>
      <c r="L1128" s="2">
        <v>2</v>
      </c>
      <c r="M1128" s="2">
        <v>1</v>
      </c>
      <c r="N1128" s="2" t="s">
        <v>8</v>
      </c>
      <c r="O1128" s="2">
        <v>3</v>
      </c>
      <c r="P1128" s="2">
        <f ca="1">ROUND((IF(I1128="",TODAY(),I1128)-H1128)/365,1)</f>
        <v>0.9</v>
      </c>
      <c r="Q1128" s="2" t="str">
        <f t="shared" si="17"/>
        <v>N/A</v>
      </c>
    </row>
    <row r="1129" spans="1:17" x14ac:dyDescent="0.35">
      <c r="A1129" s="2" t="s">
        <v>2999</v>
      </c>
      <c r="B1129" s="2" t="s">
        <v>220</v>
      </c>
      <c r="C1129" s="2" t="s">
        <v>7</v>
      </c>
      <c r="D1129" s="2" t="s">
        <v>125</v>
      </c>
      <c r="E1129" s="2" t="s">
        <v>46</v>
      </c>
      <c r="F1129" s="2">
        <v>50</v>
      </c>
      <c r="G1129" s="2" t="s">
        <v>78</v>
      </c>
      <c r="H1129" s="3" t="s">
        <v>3000</v>
      </c>
      <c r="I1129" s="3" t="s">
        <v>1497</v>
      </c>
      <c r="J1129" s="2" t="s">
        <v>6</v>
      </c>
      <c r="K1129" s="2">
        <v>120015</v>
      </c>
      <c r="L1129" s="2">
        <v>2</v>
      </c>
      <c r="M1129" s="2">
        <v>5</v>
      </c>
      <c r="N1129" s="2" t="s">
        <v>8</v>
      </c>
      <c r="O1129" s="2">
        <v>14</v>
      </c>
      <c r="P1129" s="2">
        <f ca="1">ROUND((IF(I1129="",TODAY(),I1129)-H1129)/365,1)</f>
        <v>0.2</v>
      </c>
      <c r="Q1129" s="2" t="str">
        <f t="shared" si="17"/>
        <v>N/A</v>
      </c>
    </row>
    <row r="1130" spans="1:17" x14ac:dyDescent="0.35">
      <c r="A1130" s="2" t="s">
        <v>3001</v>
      </c>
      <c r="B1130" s="2" t="s">
        <v>3002</v>
      </c>
      <c r="C1130" s="2" t="s">
        <v>7</v>
      </c>
      <c r="D1130" s="2" t="s">
        <v>125</v>
      </c>
      <c r="E1130" s="2" t="s">
        <v>46</v>
      </c>
      <c r="F1130" s="2">
        <v>51</v>
      </c>
      <c r="G1130" s="2" t="s">
        <v>78</v>
      </c>
      <c r="H1130" s="3" t="s">
        <v>3003</v>
      </c>
      <c r="I1130" s="2"/>
      <c r="J1130" s="2" t="s">
        <v>8</v>
      </c>
      <c r="K1130" s="2">
        <v>45066</v>
      </c>
      <c r="L1130" s="2">
        <v>4</v>
      </c>
      <c r="M1130" s="2">
        <v>1</v>
      </c>
      <c r="N1130" s="2" t="s">
        <v>8</v>
      </c>
      <c r="O1130" s="2">
        <v>25</v>
      </c>
      <c r="P1130" s="2">
        <f ca="1">ROUND((IF(I1130="",TODAY(),I1130)-H1130)/365,1)</f>
        <v>9.4</v>
      </c>
      <c r="Q1130" s="2" t="str">
        <f t="shared" si="17"/>
        <v>Medium</v>
      </c>
    </row>
    <row r="1131" spans="1:17" x14ac:dyDescent="0.35">
      <c r="A1131" s="2" t="s">
        <v>3004</v>
      </c>
      <c r="B1131" s="2" t="s">
        <v>1911</v>
      </c>
      <c r="C1131" s="2" t="s">
        <v>7</v>
      </c>
      <c r="D1131" s="2" t="s">
        <v>155</v>
      </c>
      <c r="E1131" s="2" t="s">
        <v>31</v>
      </c>
      <c r="F1131" s="2">
        <v>23</v>
      </c>
      <c r="G1131" s="2" t="s">
        <v>56</v>
      </c>
      <c r="H1131" s="3" t="s">
        <v>3005</v>
      </c>
      <c r="I1131" s="3" t="s">
        <v>1927</v>
      </c>
      <c r="J1131" s="2" t="s">
        <v>6</v>
      </c>
      <c r="K1131" s="2">
        <v>62723</v>
      </c>
      <c r="L1131" s="2">
        <v>5</v>
      </c>
      <c r="M1131" s="2">
        <v>2</v>
      </c>
      <c r="N1131" s="2" t="s">
        <v>8</v>
      </c>
      <c r="O1131" s="2">
        <v>34</v>
      </c>
      <c r="P1131" s="2">
        <f ca="1">ROUND((IF(I1131="",TODAY(),I1131)-H1131)/365,1)</f>
        <v>1.7</v>
      </c>
      <c r="Q1131" s="2" t="str">
        <f t="shared" si="17"/>
        <v>N/A</v>
      </c>
    </row>
    <row r="1132" spans="1:17" x14ac:dyDescent="0.35">
      <c r="A1132" s="2" t="s">
        <v>3006</v>
      </c>
      <c r="B1132" s="2" t="s">
        <v>3007</v>
      </c>
      <c r="C1132" s="2" t="s">
        <v>9</v>
      </c>
      <c r="D1132" s="2" t="s">
        <v>51</v>
      </c>
      <c r="E1132" s="2" t="s">
        <v>31</v>
      </c>
      <c r="F1132" s="2">
        <v>55</v>
      </c>
      <c r="G1132" s="2" t="s">
        <v>32</v>
      </c>
      <c r="H1132" s="3" t="s">
        <v>3008</v>
      </c>
      <c r="I1132" s="2"/>
      <c r="J1132" s="2" t="s">
        <v>8</v>
      </c>
      <c r="K1132" s="2">
        <v>30037</v>
      </c>
      <c r="L1132" s="2">
        <v>3</v>
      </c>
      <c r="M1132" s="2">
        <v>2</v>
      </c>
      <c r="N1132" s="2" t="s">
        <v>6</v>
      </c>
      <c r="O1132" s="2">
        <v>24</v>
      </c>
      <c r="P1132" s="2">
        <f ca="1">ROUND((IF(I1132="",TODAY(),I1132)-H1132)/365,1)</f>
        <v>5.6</v>
      </c>
      <c r="Q1132" s="2" t="str">
        <f t="shared" si="17"/>
        <v>High</v>
      </c>
    </row>
    <row r="1133" spans="1:17" x14ac:dyDescent="0.35">
      <c r="A1133" s="2" t="s">
        <v>3009</v>
      </c>
      <c r="B1133" s="2" t="s">
        <v>2193</v>
      </c>
      <c r="C1133" s="2" t="s">
        <v>12</v>
      </c>
      <c r="D1133" s="2" t="s">
        <v>30</v>
      </c>
      <c r="E1133" s="2" t="s">
        <v>31</v>
      </c>
      <c r="F1133" s="2">
        <v>58</v>
      </c>
      <c r="G1133" s="2" t="s">
        <v>56</v>
      </c>
      <c r="H1133" s="3" t="s">
        <v>3010</v>
      </c>
      <c r="I1133" s="3" t="s">
        <v>3011</v>
      </c>
      <c r="J1133" s="2" t="s">
        <v>6</v>
      </c>
      <c r="K1133" s="2">
        <v>124899</v>
      </c>
      <c r="L1133" s="2">
        <v>1</v>
      </c>
      <c r="M1133" s="2">
        <v>5</v>
      </c>
      <c r="N1133" s="2" t="s">
        <v>8</v>
      </c>
      <c r="O1133" s="2">
        <v>15</v>
      </c>
      <c r="P1133" s="2">
        <f ca="1">ROUND((IF(I1133="",TODAY(),I1133)-H1133)/365,1)</f>
        <v>6.3</v>
      </c>
      <c r="Q1133" s="2" t="str">
        <f t="shared" si="17"/>
        <v>N/A</v>
      </c>
    </row>
    <row r="1134" spans="1:17" x14ac:dyDescent="0.35">
      <c r="A1134" s="2" t="s">
        <v>3012</v>
      </c>
      <c r="B1134" s="2" t="s">
        <v>2409</v>
      </c>
      <c r="C1134" s="2" t="s">
        <v>5</v>
      </c>
      <c r="D1134" s="2" t="s">
        <v>94</v>
      </c>
      <c r="E1134" s="2" t="s">
        <v>46</v>
      </c>
      <c r="F1134" s="2">
        <v>40</v>
      </c>
      <c r="G1134" s="2" t="s">
        <v>56</v>
      </c>
      <c r="H1134" s="3" t="s">
        <v>351</v>
      </c>
      <c r="I1134" s="2"/>
      <c r="J1134" s="2" t="s">
        <v>8</v>
      </c>
      <c r="K1134" s="2">
        <v>89298</v>
      </c>
      <c r="L1134" s="2">
        <v>2</v>
      </c>
      <c r="M1134" s="2">
        <v>4</v>
      </c>
      <c r="N1134" s="2" t="s">
        <v>8</v>
      </c>
      <c r="O1134" s="2">
        <v>44</v>
      </c>
      <c r="P1134" s="2">
        <f ca="1">ROUND((IF(I1134="",TODAY(),I1134)-H1134)/365,1)</f>
        <v>3.9</v>
      </c>
      <c r="Q1134" s="2" t="str">
        <f t="shared" si="17"/>
        <v>Low</v>
      </c>
    </row>
    <row r="1135" spans="1:17" x14ac:dyDescent="0.35">
      <c r="A1135" s="2" t="s">
        <v>3013</v>
      </c>
      <c r="B1135" s="2" t="s">
        <v>293</v>
      </c>
      <c r="C1135" s="2" t="s">
        <v>12</v>
      </c>
      <c r="D1135" s="2" t="s">
        <v>133</v>
      </c>
      <c r="E1135" s="2" t="s">
        <v>46</v>
      </c>
      <c r="F1135" s="2">
        <v>56</v>
      </c>
      <c r="G1135" s="2" t="s">
        <v>32</v>
      </c>
      <c r="H1135" s="3" t="s">
        <v>358</v>
      </c>
      <c r="I1135" s="2"/>
      <c r="J1135" s="2" t="s">
        <v>8</v>
      </c>
      <c r="K1135" s="2">
        <v>120810</v>
      </c>
      <c r="L1135" s="2">
        <v>3</v>
      </c>
      <c r="M1135" s="2">
        <v>2</v>
      </c>
      <c r="N1135" s="2" t="s">
        <v>8</v>
      </c>
      <c r="O1135" s="2">
        <v>41</v>
      </c>
      <c r="P1135" s="2">
        <f ca="1">ROUND((IF(I1135="",TODAY(),I1135)-H1135)/365,1)</f>
        <v>1.7</v>
      </c>
      <c r="Q1135" s="2" t="str">
        <f t="shared" si="17"/>
        <v>Medium</v>
      </c>
    </row>
    <row r="1136" spans="1:17" x14ac:dyDescent="0.35">
      <c r="A1136" s="2" t="s">
        <v>3014</v>
      </c>
      <c r="B1136" s="2" t="s">
        <v>757</v>
      </c>
      <c r="C1136" s="2" t="s">
        <v>10</v>
      </c>
      <c r="D1136" s="2" t="s">
        <v>258</v>
      </c>
      <c r="E1136" s="2" t="s">
        <v>31</v>
      </c>
      <c r="F1136" s="2">
        <v>49</v>
      </c>
      <c r="G1136" s="2" t="s">
        <v>56</v>
      </c>
      <c r="H1136" s="3" t="s">
        <v>2488</v>
      </c>
      <c r="I1136" s="2"/>
      <c r="J1136" s="2" t="s">
        <v>8</v>
      </c>
      <c r="K1136" s="2">
        <v>118151</v>
      </c>
      <c r="L1136" s="2">
        <v>4</v>
      </c>
      <c r="M1136" s="2">
        <v>1</v>
      </c>
      <c r="N1136" s="2" t="s">
        <v>6</v>
      </c>
      <c r="O1136" s="2">
        <v>27</v>
      </c>
      <c r="P1136" s="2">
        <f ca="1">ROUND((IF(I1136="",TODAY(),I1136)-H1136)/365,1)</f>
        <v>2.6</v>
      </c>
      <c r="Q1136" s="2" t="str">
        <f t="shared" si="17"/>
        <v>High</v>
      </c>
    </row>
    <row r="1137" spans="1:17" x14ac:dyDescent="0.35">
      <c r="A1137" s="2" t="s">
        <v>3015</v>
      </c>
      <c r="B1137" s="2" t="s">
        <v>2579</v>
      </c>
      <c r="C1137" s="2" t="s">
        <v>10</v>
      </c>
      <c r="D1137" s="2" t="s">
        <v>111</v>
      </c>
      <c r="E1137" s="2" t="s">
        <v>46</v>
      </c>
      <c r="F1137" s="2">
        <v>48</v>
      </c>
      <c r="G1137" s="2" t="s">
        <v>78</v>
      </c>
      <c r="H1137" s="3" t="s">
        <v>3016</v>
      </c>
      <c r="I1137" s="2"/>
      <c r="J1137" s="2" t="s">
        <v>8</v>
      </c>
      <c r="K1137" s="2">
        <v>85754</v>
      </c>
      <c r="L1137" s="2">
        <v>4</v>
      </c>
      <c r="M1137" s="2">
        <v>4</v>
      </c>
      <c r="N1137" s="2" t="s">
        <v>8</v>
      </c>
      <c r="O1137" s="2">
        <v>25</v>
      </c>
      <c r="P1137" s="2">
        <f ca="1">ROUND((IF(I1137="",TODAY(),I1137)-H1137)/365,1)</f>
        <v>1.7</v>
      </c>
      <c r="Q1137" s="2" t="str">
        <f t="shared" si="17"/>
        <v>Low</v>
      </c>
    </row>
    <row r="1138" spans="1:17" x14ac:dyDescent="0.35">
      <c r="A1138" s="2" t="s">
        <v>3017</v>
      </c>
      <c r="B1138" s="2" t="s">
        <v>3018</v>
      </c>
      <c r="C1138" s="2" t="s">
        <v>12</v>
      </c>
      <c r="D1138" s="2" t="s">
        <v>133</v>
      </c>
      <c r="E1138" s="2" t="s">
        <v>31</v>
      </c>
      <c r="F1138" s="2">
        <v>37</v>
      </c>
      <c r="G1138" s="2" t="s">
        <v>56</v>
      </c>
      <c r="H1138" s="3" t="s">
        <v>3019</v>
      </c>
      <c r="I1138" s="2"/>
      <c r="J1138" s="2" t="s">
        <v>8</v>
      </c>
      <c r="K1138" s="2">
        <v>127776</v>
      </c>
      <c r="L1138" s="2">
        <v>2</v>
      </c>
      <c r="M1138" s="2">
        <v>5</v>
      </c>
      <c r="N1138" s="2" t="s">
        <v>8</v>
      </c>
      <c r="O1138" s="2">
        <v>43</v>
      </c>
      <c r="P1138" s="2">
        <f ca="1">ROUND((IF(I1138="",TODAY(),I1138)-H1138)/365,1)</f>
        <v>9.1999999999999993</v>
      </c>
      <c r="Q1138" s="2" t="str">
        <f t="shared" si="17"/>
        <v>Low</v>
      </c>
    </row>
    <row r="1139" spans="1:17" x14ac:dyDescent="0.35">
      <c r="A1139" s="2" t="s">
        <v>3020</v>
      </c>
      <c r="B1139" s="2" t="s">
        <v>2025</v>
      </c>
      <c r="C1139" s="2" t="s">
        <v>10</v>
      </c>
      <c r="D1139" s="2" t="s">
        <v>70</v>
      </c>
      <c r="E1139" s="2" t="s">
        <v>46</v>
      </c>
      <c r="F1139" s="2">
        <v>35</v>
      </c>
      <c r="G1139" s="2" t="s">
        <v>78</v>
      </c>
      <c r="H1139" s="3" t="s">
        <v>3021</v>
      </c>
      <c r="I1139" s="2"/>
      <c r="J1139" s="2" t="s">
        <v>8</v>
      </c>
      <c r="K1139" s="2">
        <v>84286</v>
      </c>
      <c r="L1139" s="2">
        <v>5</v>
      </c>
      <c r="M1139" s="2">
        <v>1</v>
      </c>
      <c r="N1139" s="2" t="s">
        <v>6</v>
      </c>
      <c r="O1139" s="2">
        <v>42</v>
      </c>
      <c r="P1139" s="2">
        <f ca="1">ROUND((IF(I1139="",TODAY(),I1139)-H1139)/365,1)</f>
        <v>7.2</v>
      </c>
      <c r="Q1139" s="2" t="str">
        <f t="shared" si="17"/>
        <v>High</v>
      </c>
    </row>
    <row r="1140" spans="1:17" x14ac:dyDescent="0.35">
      <c r="A1140" s="2" t="s">
        <v>3022</v>
      </c>
      <c r="B1140" s="2" t="s">
        <v>654</v>
      </c>
      <c r="C1140" s="2" t="s">
        <v>11</v>
      </c>
      <c r="D1140" s="2" t="s">
        <v>66</v>
      </c>
      <c r="E1140" s="2" t="s">
        <v>31</v>
      </c>
      <c r="F1140" s="2">
        <v>43</v>
      </c>
      <c r="G1140" s="2" t="s">
        <v>78</v>
      </c>
      <c r="H1140" s="3" t="s">
        <v>3023</v>
      </c>
      <c r="I1140" s="3" t="s">
        <v>3024</v>
      </c>
      <c r="J1140" s="2" t="s">
        <v>6</v>
      </c>
      <c r="K1140" s="2">
        <v>48634</v>
      </c>
      <c r="L1140" s="2">
        <v>5</v>
      </c>
      <c r="M1140" s="2">
        <v>4</v>
      </c>
      <c r="N1140" s="2" t="s">
        <v>8</v>
      </c>
      <c r="O1140" s="2">
        <v>28</v>
      </c>
      <c r="P1140" s="2">
        <f ca="1">ROUND((IF(I1140="",TODAY(),I1140)-H1140)/365,1)</f>
        <v>1.3</v>
      </c>
      <c r="Q1140" s="2" t="str">
        <f t="shared" si="17"/>
        <v>N/A</v>
      </c>
    </row>
    <row r="1141" spans="1:17" x14ac:dyDescent="0.35">
      <c r="A1141" s="2" t="s">
        <v>3025</v>
      </c>
      <c r="B1141" s="2" t="s">
        <v>918</v>
      </c>
      <c r="C1141" s="2" t="s">
        <v>10</v>
      </c>
      <c r="D1141" s="2" t="s">
        <v>70</v>
      </c>
      <c r="E1141" s="2" t="s">
        <v>31</v>
      </c>
      <c r="F1141" s="2">
        <v>31</v>
      </c>
      <c r="G1141" s="2" t="s">
        <v>78</v>
      </c>
      <c r="H1141" s="3" t="s">
        <v>3026</v>
      </c>
      <c r="I1141" s="3" t="s">
        <v>3027</v>
      </c>
      <c r="J1141" s="2" t="s">
        <v>6</v>
      </c>
      <c r="K1141" s="2">
        <v>66483</v>
      </c>
      <c r="L1141" s="2">
        <v>2</v>
      </c>
      <c r="M1141" s="2">
        <v>2</v>
      </c>
      <c r="N1141" s="2" t="s">
        <v>8</v>
      </c>
      <c r="O1141" s="2">
        <v>27</v>
      </c>
      <c r="P1141" s="2">
        <f ca="1">ROUND((IF(I1141="",TODAY(),I1141)-H1141)/365,1)</f>
        <v>4.3</v>
      </c>
      <c r="Q1141" s="2" t="str">
        <f t="shared" si="17"/>
        <v>N/A</v>
      </c>
    </row>
    <row r="1142" spans="1:17" x14ac:dyDescent="0.35">
      <c r="A1142" s="2" t="s">
        <v>3028</v>
      </c>
      <c r="B1142" s="2" t="s">
        <v>3029</v>
      </c>
      <c r="C1142" s="2" t="s">
        <v>7</v>
      </c>
      <c r="D1142" s="2" t="s">
        <v>125</v>
      </c>
      <c r="E1142" s="2" t="s">
        <v>46</v>
      </c>
      <c r="F1142" s="2">
        <v>55</v>
      </c>
      <c r="G1142" s="2" t="s">
        <v>32</v>
      </c>
      <c r="H1142" s="3" t="s">
        <v>1524</v>
      </c>
      <c r="I1142" s="3" t="s">
        <v>3030</v>
      </c>
      <c r="J1142" s="2" t="s">
        <v>6</v>
      </c>
      <c r="K1142" s="2">
        <v>36239</v>
      </c>
      <c r="L1142" s="2">
        <v>1</v>
      </c>
      <c r="M1142" s="2">
        <v>1</v>
      </c>
      <c r="N1142" s="2" t="s">
        <v>8</v>
      </c>
      <c r="O1142" s="2">
        <v>5</v>
      </c>
      <c r="P1142" s="2">
        <f ca="1">ROUND((IF(I1142="",TODAY(),I1142)-H1142)/365,1)</f>
        <v>0.5</v>
      </c>
      <c r="Q1142" s="2" t="str">
        <f t="shared" si="17"/>
        <v>N/A</v>
      </c>
    </row>
    <row r="1143" spans="1:17" x14ac:dyDescent="0.35">
      <c r="A1143" s="2" t="s">
        <v>3031</v>
      </c>
      <c r="B1143" s="2" t="s">
        <v>3032</v>
      </c>
      <c r="C1143" s="2" t="s">
        <v>9</v>
      </c>
      <c r="D1143" s="2" t="s">
        <v>51</v>
      </c>
      <c r="E1143" s="2" t="s">
        <v>46</v>
      </c>
      <c r="F1143" s="2">
        <v>31</v>
      </c>
      <c r="G1143" s="2" t="s">
        <v>78</v>
      </c>
      <c r="H1143" s="3" t="s">
        <v>2198</v>
      </c>
      <c r="I1143" s="2"/>
      <c r="J1143" s="2" t="s">
        <v>8</v>
      </c>
      <c r="K1143" s="2">
        <v>144176</v>
      </c>
      <c r="L1143" s="2">
        <v>3</v>
      </c>
      <c r="M1143" s="2">
        <v>1</v>
      </c>
      <c r="N1143" s="2" t="s">
        <v>6</v>
      </c>
      <c r="O1143" s="2">
        <v>40</v>
      </c>
      <c r="P1143" s="2">
        <f ca="1">ROUND((IF(I1143="",TODAY(),I1143)-H1143)/365,1)</f>
        <v>9.1999999999999993</v>
      </c>
      <c r="Q1143" s="2" t="str">
        <f t="shared" si="17"/>
        <v>High</v>
      </c>
    </row>
    <row r="1144" spans="1:17" x14ac:dyDescent="0.35">
      <c r="A1144" s="2" t="s">
        <v>3033</v>
      </c>
      <c r="B1144" s="2" t="s">
        <v>309</v>
      </c>
      <c r="C1144" s="2" t="s">
        <v>10</v>
      </c>
      <c r="D1144" s="2" t="s">
        <v>258</v>
      </c>
      <c r="E1144" s="2" t="s">
        <v>46</v>
      </c>
      <c r="F1144" s="2">
        <v>41</v>
      </c>
      <c r="G1144" s="2" t="s">
        <v>32</v>
      </c>
      <c r="H1144" s="3" t="s">
        <v>3034</v>
      </c>
      <c r="I1144" s="2"/>
      <c r="J1144" s="2" t="s">
        <v>8</v>
      </c>
      <c r="K1144" s="2">
        <v>79419</v>
      </c>
      <c r="L1144" s="2">
        <v>2</v>
      </c>
      <c r="M1144" s="2">
        <v>2</v>
      </c>
      <c r="N1144" s="2" t="s">
        <v>8</v>
      </c>
      <c r="O1144" s="2">
        <v>11</v>
      </c>
      <c r="P1144" s="2">
        <f ca="1">ROUND((IF(I1144="",TODAY(),I1144)-H1144)/365,1)</f>
        <v>10.5</v>
      </c>
      <c r="Q1144" s="2" t="str">
        <f t="shared" si="17"/>
        <v>Medium</v>
      </c>
    </row>
    <row r="1145" spans="1:17" x14ac:dyDescent="0.35">
      <c r="A1145" s="2" t="s">
        <v>3035</v>
      </c>
      <c r="B1145" s="2" t="s">
        <v>3036</v>
      </c>
      <c r="C1145" s="2" t="s">
        <v>11</v>
      </c>
      <c r="D1145" s="2" t="s">
        <v>66</v>
      </c>
      <c r="E1145" s="2" t="s">
        <v>31</v>
      </c>
      <c r="F1145" s="2">
        <v>52</v>
      </c>
      <c r="G1145" s="2" t="s">
        <v>32</v>
      </c>
      <c r="H1145" s="3" t="s">
        <v>3037</v>
      </c>
      <c r="I1145" s="2"/>
      <c r="J1145" s="2" t="s">
        <v>8</v>
      </c>
      <c r="K1145" s="2">
        <v>148915</v>
      </c>
      <c r="L1145" s="2">
        <v>1</v>
      </c>
      <c r="M1145" s="2">
        <v>2</v>
      </c>
      <c r="N1145" s="2" t="s">
        <v>8</v>
      </c>
      <c r="O1145" s="2">
        <v>43</v>
      </c>
      <c r="P1145" s="2">
        <f ca="1">ROUND((IF(I1145="",TODAY(),I1145)-H1145)/365,1)</f>
        <v>3.8</v>
      </c>
      <c r="Q1145" s="2" t="str">
        <f t="shared" si="17"/>
        <v>Medium</v>
      </c>
    </row>
    <row r="1146" spans="1:17" x14ac:dyDescent="0.35">
      <c r="A1146" s="2" t="s">
        <v>3038</v>
      </c>
      <c r="B1146" s="2" t="s">
        <v>247</v>
      </c>
      <c r="C1146" s="2" t="s">
        <v>5</v>
      </c>
      <c r="D1146" s="2" t="s">
        <v>94</v>
      </c>
      <c r="E1146" s="2" t="s">
        <v>31</v>
      </c>
      <c r="F1146" s="2">
        <v>46</v>
      </c>
      <c r="G1146" s="2" t="s">
        <v>78</v>
      </c>
      <c r="H1146" s="3" t="s">
        <v>3039</v>
      </c>
      <c r="I1146" s="2"/>
      <c r="J1146" s="2" t="s">
        <v>8</v>
      </c>
      <c r="K1146" s="2">
        <v>132210</v>
      </c>
      <c r="L1146" s="2">
        <v>5</v>
      </c>
      <c r="M1146" s="2">
        <v>1</v>
      </c>
      <c r="N1146" s="2" t="s">
        <v>6</v>
      </c>
      <c r="O1146" s="2">
        <v>45</v>
      </c>
      <c r="P1146" s="2">
        <f ca="1">ROUND((IF(I1146="",TODAY(),I1146)-H1146)/365,1)</f>
        <v>6.3</v>
      </c>
      <c r="Q1146" s="2" t="str">
        <f t="shared" si="17"/>
        <v>High</v>
      </c>
    </row>
    <row r="1147" spans="1:17" x14ac:dyDescent="0.35">
      <c r="A1147" s="2" t="s">
        <v>3040</v>
      </c>
      <c r="B1147" s="2" t="s">
        <v>2592</v>
      </c>
      <c r="C1147" s="2" t="s">
        <v>11</v>
      </c>
      <c r="D1147" s="2" t="s">
        <v>98</v>
      </c>
      <c r="E1147" s="2" t="s">
        <v>31</v>
      </c>
      <c r="F1147" s="2">
        <v>53</v>
      </c>
      <c r="G1147" s="2" t="s">
        <v>32</v>
      </c>
      <c r="H1147" s="3" t="s">
        <v>3041</v>
      </c>
      <c r="I1147" s="3" t="s">
        <v>3042</v>
      </c>
      <c r="J1147" s="2" t="s">
        <v>6</v>
      </c>
      <c r="K1147" s="2">
        <v>34029</v>
      </c>
      <c r="L1147" s="2">
        <v>1</v>
      </c>
      <c r="M1147" s="2">
        <v>3</v>
      </c>
      <c r="N1147" s="2" t="s">
        <v>8</v>
      </c>
      <c r="O1147" s="2">
        <v>24</v>
      </c>
      <c r="P1147" s="2">
        <f ca="1">ROUND((IF(I1147="",TODAY(),I1147)-H1147)/365,1)</f>
        <v>1.8</v>
      </c>
      <c r="Q1147" s="2" t="str">
        <f t="shared" si="17"/>
        <v>N/A</v>
      </c>
    </row>
    <row r="1148" spans="1:17" x14ac:dyDescent="0.35">
      <c r="A1148" s="2" t="s">
        <v>3043</v>
      </c>
      <c r="B1148" s="2" t="s">
        <v>1663</v>
      </c>
      <c r="C1148" s="2" t="s">
        <v>12</v>
      </c>
      <c r="D1148" s="2" t="s">
        <v>133</v>
      </c>
      <c r="E1148" s="2" t="s">
        <v>31</v>
      </c>
      <c r="F1148" s="2">
        <v>42</v>
      </c>
      <c r="G1148" s="2" t="s">
        <v>78</v>
      </c>
      <c r="H1148" s="3" t="s">
        <v>3044</v>
      </c>
      <c r="I1148" s="3" t="s">
        <v>3045</v>
      </c>
      <c r="J1148" s="2" t="s">
        <v>6</v>
      </c>
      <c r="K1148" s="2">
        <v>129768</v>
      </c>
      <c r="L1148" s="2">
        <v>3</v>
      </c>
      <c r="M1148" s="2">
        <v>1</v>
      </c>
      <c r="N1148" s="2" t="s">
        <v>8</v>
      </c>
      <c r="O1148" s="2">
        <v>39</v>
      </c>
      <c r="P1148" s="2">
        <f ca="1">ROUND((IF(I1148="",TODAY(),I1148)-H1148)/365,1)</f>
        <v>6.8</v>
      </c>
      <c r="Q1148" s="2" t="str">
        <f t="shared" si="17"/>
        <v>N/A</v>
      </c>
    </row>
    <row r="1149" spans="1:17" x14ac:dyDescent="0.35">
      <c r="A1149" s="2" t="s">
        <v>3046</v>
      </c>
      <c r="B1149" s="2" t="s">
        <v>2527</v>
      </c>
      <c r="C1149" s="2" t="s">
        <v>10</v>
      </c>
      <c r="D1149" s="2" t="s">
        <v>111</v>
      </c>
      <c r="E1149" s="2" t="s">
        <v>46</v>
      </c>
      <c r="F1149" s="2">
        <v>54</v>
      </c>
      <c r="G1149" s="2" t="s">
        <v>32</v>
      </c>
      <c r="H1149" s="3" t="s">
        <v>2227</v>
      </c>
      <c r="I1149" s="3" t="s">
        <v>406</v>
      </c>
      <c r="J1149" s="2" t="s">
        <v>6</v>
      </c>
      <c r="K1149" s="2">
        <v>143727</v>
      </c>
      <c r="L1149" s="2">
        <v>4</v>
      </c>
      <c r="M1149" s="2">
        <v>1</v>
      </c>
      <c r="N1149" s="2" t="s">
        <v>8</v>
      </c>
      <c r="O1149" s="2">
        <v>21</v>
      </c>
      <c r="P1149" s="2">
        <f ca="1">ROUND((IF(I1149="",TODAY(),I1149)-H1149)/365,1)</f>
        <v>2.8</v>
      </c>
      <c r="Q1149" s="2" t="str">
        <f t="shared" si="17"/>
        <v>N/A</v>
      </c>
    </row>
    <row r="1150" spans="1:17" x14ac:dyDescent="0.35">
      <c r="A1150" s="2" t="s">
        <v>3047</v>
      </c>
      <c r="B1150" s="2" t="s">
        <v>2635</v>
      </c>
      <c r="C1150" s="2" t="s">
        <v>12</v>
      </c>
      <c r="D1150" s="2" t="s">
        <v>133</v>
      </c>
      <c r="E1150" s="2" t="s">
        <v>46</v>
      </c>
      <c r="F1150" s="2">
        <v>43</v>
      </c>
      <c r="G1150" s="2" t="s">
        <v>32</v>
      </c>
      <c r="H1150" s="3" t="s">
        <v>3048</v>
      </c>
      <c r="I1150" s="3" t="s">
        <v>3049</v>
      </c>
      <c r="J1150" s="2" t="s">
        <v>6</v>
      </c>
      <c r="K1150" s="2">
        <v>97256</v>
      </c>
      <c r="L1150" s="2">
        <v>1</v>
      </c>
      <c r="M1150" s="2">
        <v>4</v>
      </c>
      <c r="N1150" s="2" t="s">
        <v>6</v>
      </c>
      <c r="O1150" s="2">
        <v>22</v>
      </c>
      <c r="P1150" s="2">
        <f ca="1">ROUND((IF(I1150="",TODAY(),I1150)-H1150)/365,1)</f>
        <v>11.1</v>
      </c>
      <c r="Q1150" s="2" t="str">
        <f t="shared" si="17"/>
        <v>N/A</v>
      </c>
    </row>
    <row r="1151" spans="1:17" x14ac:dyDescent="0.35">
      <c r="A1151" s="2" t="s">
        <v>3050</v>
      </c>
      <c r="B1151" s="2" t="s">
        <v>541</v>
      </c>
      <c r="C1151" s="2" t="s">
        <v>11</v>
      </c>
      <c r="D1151" s="2" t="s">
        <v>45</v>
      </c>
      <c r="E1151" s="2" t="s">
        <v>31</v>
      </c>
      <c r="F1151" s="2">
        <v>34</v>
      </c>
      <c r="G1151" s="2" t="s">
        <v>78</v>
      </c>
      <c r="H1151" s="3" t="s">
        <v>3051</v>
      </c>
      <c r="I1151" s="2"/>
      <c r="J1151" s="2" t="s">
        <v>8</v>
      </c>
      <c r="K1151" s="2">
        <v>113067</v>
      </c>
      <c r="L1151" s="2">
        <v>1</v>
      </c>
      <c r="M1151" s="2">
        <v>4</v>
      </c>
      <c r="N1151" s="2" t="s">
        <v>8</v>
      </c>
      <c r="O1151" s="2">
        <v>45</v>
      </c>
      <c r="P1151" s="2">
        <f ca="1">ROUND((IF(I1151="",TODAY(),I1151)-H1151)/365,1)</f>
        <v>1.5</v>
      </c>
      <c r="Q1151" s="2" t="str">
        <f t="shared" si="17"/>
        <v>Low</v>
      </c>
    </row>
    <row r="1152" spans="1:17" x14ac:dyDescent="0.35">
      <c r="A1152" s="2" t="s">
        <v>3052</v>
      </c>
      <c r="B1152" s="2" t="s">
        <v>167</v>
      </c>
      <c r="C1152" s="2" t="s">
        <v>9</v>
      </c>
      <c r="D1152" s="2" t="s">
        <v>41</v>
      </c>
      <c r="E1152" s="2" t="s">
        <v>46</v>
      </c>
      <c r="F1152" s="2">
        <v>30</v>
      </c>
      <c r="G1152" s="2" t="s">
        <v>78</v>
      </c>
      <c r="H1152" s="3" t="s">
        <v>3053</v>
      </c>
      <c r="I1152" s="3" t="s">
        <v>3054</v>
      </c>
      <c r="J1152" s="2" t="s">
        <v>6</v>
      </c>
      <c r="K1152" s="2">
        <v>61915</v>
      </c>
      <c r="L1152" s="2">
        <v>2</v>
      </c>
      <c r="M1152" s="2">
        <v>5</v>
      </c>
      <c r="N1152" s="2" t="s">
        <v>8</v>
      </c>
      <c r="O1152" s="2">
        <v>32</v>
      </c>
      <c r="P1152" s="2">
        <f ca="1">ROUND((IF(I1152="",TODAY(),I1152)-H1152)/365,1)</f>
        <v>5.2</v>
      </c>
      <c r="Q1152" s="2" t="str">
        <f t="shared" si="17"/>
        <v>N/A</v>
      </c>
    </row>
    <row r="1153" spans="1:17" x14ac:dyDescent="0.35">
      <c r="A1153" s="2" t="s">
        <v>3055</v>
      </c>
      <c r="B1153" s="2" t="s">
        <v>1096</v>
      </c>
      <c r="C1153" s="2" t="s">
        <v>12</v>
      </c>
      <c r="D1153" s="2" t="s">
        <v>30</v>
      </c>
      <c r="E1153" s="2" t="s">
        <v>46</v>
      </c>
      <c r="F1153" s="2">
        <v>23</v>
      </c>
      <c r="G1153" s="2" t="s">
        <v>78</v>
      </c>
      <c r="H1153" s="3" t="s">
        <v>3054</v>
      </c>
      <c r="I1153" s="3" t="s">
        <v>3056</v>
      </c>
      <c r="J1153" s="2" t="s">
        <v>6</v>
      </c>
      <c r="K1153" s="2">
        <v>48213</v>
      </c>
      <c r="L1153" s="2">
        <v>2</v>
      </c>
      <c r="M1153" s="2">
        <v>1</v>
      </c>
      <c r="N1153" s="2" t="s">
        <v>6</v>
      </c>
      <c r="O1153" s="2">
        <v>5</v>
      </c>
      <c r="P1153" s="2">
        <f ca="1">ROUND((IF(I1153="",TODAY(),I1153)-H1153)/365,1)</f>
        <v>1.8</v>
      </c>
      <c r="Q1153" s="2" t="str">
        <f t="shared" si="17"/>
        <v>N/A</v>
      </c>
    </row>
    <row r="1154" spans="1:17" x14ac:dyDescent="0.35">
      <c r="A1154" s="2" t="s">
        <v>3057</v>
      </c>
      <c r="B1154" s="2" t="s">
        <v>990</v>
      </c>
      <c r="C1154" s="2" t="s">
        <v>7</v>
      </c>
      <c r="D1154" s="2" t="s">
        <v>155</v>
      </c>
      <c r="E1154" s="2" t="s">
        <v>31</v>
      </c>
      <c r="F1154" s="2">
        <v>43</v>
      </c>
      <c r="G1154" s="2" t="s">
        <v>78</v>
      </c>
      <c r="H1154" s="3" t="s">
        <v>3058</v>
      </c>
      <c r="I1154" s="2"/>
      <c r="J1154" s="2" t="s">
        <v>8</v>
      </c>
      <c r="K1154" s="2">
        <v>107067</v>
      </c>
      <c r="L1154" s="2">
        <v>2</v>
      </c>
      <c r="M1154" s="2">
        <v>1</v>
      </c>
      <c r="N1154" s="2" t="s">
        <v>8</v>
      </c>
      <c r="O1154" s="2">
        <v>38</v>
      </c>
      <c r="P1154" s="2">
        <f ca="1">ROUND((IF(I1154="",TODAY(),I1154)-H1154)/365,1)</f>
        <v>1.8</v>
      </c>
      <c r="Q1154" s="2" t="str">
        <f t="shared" ref="Q1154:Q1201" si="18">IF(J1154="No",IF(AND(M1154&lt;=2,N1154="Yes"),"High",IF(OR(M1154&lt;=2,N1154="Yes"),"Medium","Low")),"N/A")</f>
        <v>Medium</v>
      </c>
    </row>
    <row r="1155" spans="1:17" x14ac:dyDescent="0.35">
      <c r="A1155" s="2" t="s">
        <v>3059</v>
      </c>
      <c r="B1155" s="2" t="s">
        <v>253</v>
      </c>
      <c r="C1155" s="2" t="s">
        <v>9</v>
      </c>
      <c r="D1155" s="2" t="s">
        <v>77</v>
      </c>
      <c r="E1155" s="2" t="s">
        <v>31</v>
      </c>
      <c r="F1155" s="2">
        <v>25</v>
      </c>
      <c r="G1155" s="2" t="s">
        <v>32</v>
      </c>
      <c r="H1155" s="3" t="s">
        <v>3060</v>
      </c>
      <c r="I1155" s="3" t="s">
        <v>3061</v>
      </c>
      <c r="J1155" s="2" t="s">
        <v>6</v>
      </c>
      <c r="K1155" s="2">
        <v>119143</v>
      </c>
      <c r="L1155" s="2">
        <v>2</v>
      </c>
      <c r="M1155" s="2">
        <v>1</v>
      </c>
      <c r="N1155" s="2" t="s">
        <v>6</v>
      </c>
      <c r="O1155" s="2">
        <v>6</v>
      </c>
      <c r="P1155" s="2">
        <f ca="1">ROUND((IF(I1155="",TODAY(),I1155)-H1155)/365,1)</f>
        <v>1.5</v>
      </c>
      <c r="Q1155" s="2" t="str">
        <f t="shared" si="18"/>
        <v>N/A</v>
      </c>
    </row>
    <row r="1156" spans="1:17" x14ac:dyDescent="0.35">
      <c r="A1156" s="2" t="s">
        <v>3062</v>
      </c>
      <c r="B1156" s="2" t="s">
        <v>1190</v>
      </c>
      <c r="C1156" s="2" t="s">
        <v>7</v>
      </c>
      <c r="D1156" s="2" t="s">
        <v>155</v>
      </c>
      <c r="E1156" s="2" t="s">
        <v>31</v>
      </c>
      <c r="F1156" s="2">
        <v>55</v>
      </c>
      <c r="G1156" s="2" t="s">
        <v>32</v>
      </c>
      <c r="H1156" s="3" t="s">
        <v>3063</v>
      </c>
      <c r="I1156" s="2"/>
      <c r="J1156" s="2" t="s">
        <v>8</v>
      </c>
      <c r="K1156" s="2">
        <v>117572</v>
      </c>
      <c r="L1156" s="2">
        <v>4</v>
      </c>
      <c r="M1156" s="2">
        <v>2</v>
      </c>
      <c r="N1156" s="2" t="s">
        <v>8</v>
      </c>
      <c r="O1156" s="2">
        <v>39</v>
      </c>
      <c r="P1156" s="2">
        <f ca="1">ROUND((IF(I1156="",TODAY(),I1156)-H1156)/365,1)</f>
        <v>9.4</v>
      </c>
      <c r="Q1156" s="2" t="str">
        <f t="shared" si="18"/>
        <v>Medium</v>
      </c>
    </row>
    <row r="1157" spans="1:17" x14ac:dyDescent="0.35">
      <c r="A1157" s="2" t="s">
        <v>3064</v>
      </c>
      <c r="B1157" s="2" t="s">
        <v>1453</v>
      </c>
      <c r="C1157" s="2" t="s">
        <v>12</v>
      </c>
      <c r="D1157" s="2" t="s">
        <v>55</v>
      </c>
      <c r="E1157" s="2" t="s">
        <v>31</v>
      </c>
      <c r="F1157" s="2">
        <v>54</v>
      </c>
      <c r="G1157" s="2" t="s">
        <v>56</v>
      </c>
      <c r="H1157" s="3" t="s">
        <v>3065</v>
      </c>
      <c r="I1157" s="2"/>
      <c r="J1157" s="2" t="s">
        <v>8</v>
      </c>
      <c r="K1157" s="2">
        <v>140104</v>
      </c>
      <c r="L1157" s="2">
        <v>3</v>
      </c>
      <c r="M1157" s="2">
        <v>2</v>
      </c>
      <c r="N1157" s="2" t="s">
        <v>6</v>
      </c>
      <c r="O1157" s="2">
        <v>10</v>
      </c>
      <c r="P1157" s="2">
        <f ca="1">ROUND((IF(I1157="",TODAY(),I1157)-H1157)/365,1)</f>
        <v>11.5</v>
      </c>
      <c r="Q1157" s="2" t="str">
        <f t="shared" si="18"/>
        <v>High</v>
      </c>
    </row>
    <row r="1158" spans="1:17" x14ac:dyDescent="0.35">
      <c r="A1158" s="2" t="s">
        <v>3066</v>
      </c>
      <c r="B1158" s="2" t="s">
        <v>1537</v>
      </c>
      <c r="C1158" s="2" t="s">
        <v>7</v>
      </c>
      <c r="D1158" s="2" t="s">
        <v>37</v>
      </c>
      <c r="E1158" s="2" t="s">
        <v>31</v>
      </c>
      <c r="F1158" s="2">
        <v>33</v>
      </c>
      <c r="G1158" s="2" t="s">
        <v>56</v>
      </c>
      <c r="H1158" s="3" t="s">
        <v>1850</v>
      </c>
      <c r="I1158" s="3" t="s">
        <v>3067</v>
      </c>
      <c r="J1158" s="2" t="s">
        <v>6</v>
      </c>
      <c r="K1158" s="2">
        <v>108269</v>
      </c>
      <c r="L1158" s="2">
        <v>2</v>
      </c>
      <c r="M1158" s="2">
        <v>2</v>
      </c>
      <c r="N1158" s="2" t="s">
        <v>6</v>
      </c>
      <c r="O1158" s="2">
        <v>26</v>
      </c>
      <c r="P1158" s="2">
        <f ca="1">ROUND((IF(I1158="",TODAY(),I1158)-H1158)/365,1)</f>
        <v>1.3</v>
      </c>
      <c r="Q1158" s="2" t="str">
        <f t="shared" si="18"/>
        <v>N/A</v>
      </c>
    </row>
    <row r="1159" spans="1:17" x14ac:dyDescent="0.35">
      <c r="A1159" s="2" t="s">
        <v>3068</v>
      </c>
      <c r="B1159" s="2" t="s">
        <v>942</v>
      </c>
      <c r="C1159" s="2" t="s">
        <v>11</v>
      </c>
      <c r="D1159" s="2" t="s">
        <v>98</v>
      </c>
      <c r="E1159" s="2" t="s">
        <v>46</v>
      </c>
      <c r="F1159" s="2">
        <v>38</v>
      </c>
      <c r="G1159" s="2" t="s">
        <v>56</v>
      </c>
      <c r="H1159" s="3" t="s">
        <v>3069</v>
      </c>
      <c r="I1159" s="3" t="s">
        <v>1271</v>
      </c>
      <c r="J1159" s="2" t="s">
        <v>6</v>
      </c>
      <c r="K1159" s="2">
        <v>110831</v>
      </c>
      <c r="L1159" s="2">
        <v>5</v>
      </c>
      <c r="M1159" s="2">
        <v>2</v>
      </c>
      <c r="N1159" s="2" t="s">
        <v>6</v>
      </c>
      <c r="O1159" s="2">
        <v>1</v>
      </c>
      <c r="P1159" s="2">
        <f ca="1">ROUND((IF(I1159="",TODAY(),I1159)-H1159)/365,1)</f>
        <v>2.2999999999999998</v>
      </c>
      <c r="Q1159" s="2" t="str">
        <f t="shared" si="18"/>
        <v>N/A</v>
      </c>
    </row>
    <row r="1160" spans="1:17" x14ac:dyDescent="0.35">
      <c r="A1160" s="2" t="s">
        <v>3070</v>
      </c>
      <c r="B1160" s="2" t="s">
        <v>303</v>
      </c>
      <c r="C1160" s="2" t="s">
        <v>7</v>
      </c>
      <c r="D1160" s="2" t="s">
        <v>155</v>
      </c>
      <c r="E1160" s="2" t="s">
        <v>31</v>
      </c>
      <c r="F1160" s="2">
        <v>44</v>
      </c>
      <c r="G1160" s="2" t="s">
        <v>56</v>
      </c>
      <c r="H1160" s="3" t="s">
        <v>1778</v>
      </c>
      <c r="I1160" s="2"/>
      <c r="J1160" s="2" t="s">
        <v>8</v>
      </c>
      <c r="K1160" s="2">
        <v>113347</v>
      </c>
      <c r="L1160" s="2">
        <v>4</v>
      </c>
      <c r="M1160" s="2">
        <v>5</v>
      </c>
      <c r="N1160" s="2" t="s">
        <v>8</v>
      </c>
      <c r="O1160" s="2">
        <v>6</v>
      </c>
      <c r="P1160" s="2">
        <f ca="1">ROUND((IF(I1160="",TODAY(),I1160)-H1160)/365,1)</f>
        <v>1.5</v>
      </c>
      <c r="Q1160" s="2" t="str">
        <f t="shared" si="18"/>
        <v>Low</v>
      </c>
    </row>
    <row r="1161" spans="1:17" x14ac:dyDescent="0.35">
      <c r="A1161" s="2" t="s">
        <v>3071</v>
      </c>
      <c r="B1161" s="2" t="s">
        <v>1377</v>
      </c>
      <c r="C1161" s="2" t="s">
        <v>12</v>
      </c>
      <c r="D1161" s="2" t="s">
        <v>55</v>
      </c>
      <c r="E1161" s="2" t="s">
        <v>31</v>
      </c>
      <c r="F1161" s="2">
        <v>45</v>
      </c>
      <c r="G1161" s="2" t="s">
        <v>78</v>
      </c>
      <c r="H1161" s="3" t="s">
        <v>3072</v>
      </c>
      <c r="I1161" s="2"/>
      <c r="J1161" s="2" t="s">
        <v>8</v>
      </c>
      <c r="K1161" s="2">
        <v>120308</v>
      </c>
      <c r="L1161" s="2">
        <v>5</v>
      </c>
      <c r="M1161" s="2">
        <v>1</v>
      </c>
      <c r="N1161" s="2" t="s">
        <v>8</v>
      </c>
      <c r="O1161" s="2">
        <v>17</v>
      </c>
      <c r="P1161" s="2">
        <f ca="1">ROUND((IF(I1161="",TODAY(),I1161)-H1161)/365,1)</f>
        <v>3.8</v>
      </c>
      <c r="Q1161" s="2" t="str">
        <f t="shared" si="18"/>
        <v>Medium</v>
      </c>
    </row>
    <row r="1162" spans="1:17" x14ac:dyDescent="0.35">
      <c r="A1162" s="2" t="s">
        <v>3073</v>
      </c>
      <c r="B1162" s="2" t="s">
        <v>545</v>
      </c>
      <c r="C1162" s="2" t="s">
        <v>12</v>
      </c>
      <c r="D1162" s="2" t="s">
        <v>133</v>
      </c>
      <c r="E1162" s="2" t="s">
        <v>46</v>
      </c>
      <c r="F1162" s="2">
        <v>53</v>
      </c>
      <c r="G1162" s="2" t="s">
        <v>32</v>
      </c>
      <c r="H1162" s="3" t="s">
        <v>3074</v>
      </c>
      <c r="I1162" s="2"/>
      <c r="J1162" s="2" t="s">
        <v>8</v>
      </c>
      <c r="K1162" s="2">
        <v>47354</v>
      </c>
      <c r="L1162" s="2">
        <v>2</v>
      </c>
      <c r="M1162" s="2">
        <v>2</v>
      </c>
      <c r="N1162" s="2" t="s">
        <v>8</v>
      </c>
      <c r="O1162" s="2">
        <v>38</v>
      </c>
      <c r="P1162" s="2">
        <f ca="1">ROUND((IF(I1162="",TODAY(),I1162)-H1162)/365,1)</f>
        <v>8.1</v>
      </c>
      <c r="Q1162" s="2" t="str">
        <f t="shared" si="18"/>
        <v>Medium</v>
      </c>
    </row>
    <row r="1163" spans="1:17" x14ac:dyDescent="0.35">
      <c r="A1163" s="2" t="s">
        <v>3075</v>
      </c>
      <c r="B1163" s="2" t="s">
        <v>203</v>
      </c>
      <c r="C1163" s="2" t="s">
        <v>10</v>
      </c>
      <c r="D1163" s="2" t="s">
        <v>258</v>
      </c>
      <c r="E1163" s="2" t="s">
        <v>46</v>
      </c>
      <c r="F1163" s="2">
        <v>51</v>
      </c>
      <c r="G1163" s="2" t="s">
        <v>78</v>
      </c>
      <c r="H1163" s="3" t="s">
        <v>3076</v>
      </c>
      <c r="I1163" s="2"/>
      <c r="J1163" s="2" t="s">
        <v>8</v>
      </c>
      <c r="K1163" s="2">
        <v>121712</v>
      </c>
      <c r="L1163" s="2">
        <v>2</v>
      </c>
      <c r="M1163" s="2">
        <v>4</v>
      </c>
      <c r="N1163" s="2" t="s">
        <v>8</v>
      </c>
      <c r="O1163" s="2">
        <v>10</v>
      </c>
      <c r="P1163" s="2">
        <f ca="1">ROUND((IF(I1163="",TODAY(),I1163)-H1163)/365,1)</f>
        <v>1.9</v>
      </c>
      <c r="Q1163" s="2" t="str">
        <f t="shared" si="18"/>
        <v>Low</v>
      </c>
    </row>
    <row r="1164" spans="1:17" x14ac:dyDescent="0.35">
      <c r="A1164" s="2" t="s">
        <v>3077</v>
      </c>
      <c r="B1164" s="2" t="s">
        <v>538</v>
      </c>
      <c r="C1164" s="2" t="s">
        <v>5</v>
      </c>
      <c r="D1164" s="2" t="s">
        <v>94</v>
      </c>
      <c r="E1164" s="2" t="s">
        <v>46</v>
      </c>
      <c r="F1164" s="2">
        <v>47</v>
      </c>
      <c r="G1164" s="2" t="s">
        <v>32</v>
      </c>
      <c r="H1164" s="3" t="s">
        <v>3078</v>
      </c>
      <c r="I1164" s="3" t="s">
        <v>3079</v>
      </c>
      <c r="J1164" s="2" t="s">
        <v>6</v>
      </c>
      <c r="K1164" s="2">
        <v>148999</v>
      </c>
      <c r="L1164" s="2">
        <v>2</v>
      </c>
      <c r="M1164" s="2">
        <v>2</v>
      </c>
      <c r="N1164" s="2" t="s">
        <v>6</v>
      </c>
      <c r="O1164" s="2">
        <v>38</v>
      </c>
      <c r="P1164" s="2">
        <f ca="1">ROUND((IF(I1164="",TODAY(),I1164)-H1164)/365,1)</f>
        <v>0.3</v>
      </c>
      <c r="Q1164" s="2" t="str">
        <f t="shared" si="18"/>
        <v>N/A</v>
      </c>
    </row>
    <row r="1165" spans="1:17" x14ac:dyDescent="0.35">
      <c r="A1165" s="2" t="s">
        <v>3080</v>
      </c>
      <c r="B1165" s="2" t="s">
        <v>3081</v>
      </c>
      <c r="C1165" s="2" t="s">
        <v>10</v>
      </c>
      <c r="D1165" s="2" t="s">
        <v>258</v>
      </c>
      <c r="E1165" s="2" t="s">
        <v>31</v>
      </c>
      <c r="F1165" s="2">
        <v>34</v>
      </c>
      <c r="G1165" s="2" t="s">
        <v>32</v>
      </c>
      <c r="H1165" s="3" t="s">
        <v>3082</v>
      </c>
      <c r="I1165" s="3" t="s">
        <v>3083</v>
      </c>
      <c r="J1165" s="2" t="s">
        <v>6</v>
      </c>
      <c r="K1165" s="2">
        <v>61394</v>
      </c>
      <c r="L1165" s="2">
        <v>3</v>
      </c>
      <c r="M1165" s="2">
        <v>2</v>
      </c>
      <c r="N1165" s="2" t="s">
        <v>8</v>
      </c>
      <c r="O1165" s="2">
        <v>36</v>
      </c>
      <c r="P1165" s="2">
        <f ca="1">ROUND((IF(I1165="",TODAY(),I1165)-H1165)/365,1)</f>
        <v>7</v>
      </c>
      <c r="Q1165" s="2" t="str">
        <f t="shared" si="18"/>
        <v>N/A</v>
      </c>
    </row>
    <row r="1166" spans="1:17" x14ac:dyDescent="0.35">
      <c r="A1166" s="2" t="s">
        <v>3084</v>
      </c>
      <c r="B1166" s="2" t="s">
        <v>753</v>
      </c>
      <c r="C1166" s="2" t="s">
        <v>12</v>
      </c>
      <c r="D1166" s="2" t="s">
        <v>133</v>
      </c>
      <c r="E1166" s="2" t="s">
        <v>46</v>
      </c>
      <c r="F1166" s="2">
        <v>53</v>
      </c>
      <c r="G1166" s="2" t="s">
        <v>78</v>
      </c>
      <c r="H1166" s="3" t="s">
        <v>3085</v>
      </c>
      <c r="I1166" s="2"/>
      <c r="J1166" s="2" t="s">
        <v>8</v>
      </c>
      <c r="K1166" s="2">
        <v>117539</v>
      </c>
      <c r="L1166" s="2">
        <v>1</v>
      </c>
      <c r="M1166" s="2">
        <v>1</v>
      </c>
      <c r="N1166" s="2" t="s">
        <v>6</v>
      </c>
      <c r="O1166" s="2">
        <v>21</v>
      </c>
      <c r="P1166" s="2">
        <f ca="1">ROUND((IF(I1166="",TODAY(),I1166)-H1166)/365,1)</f>
        <v>4.0999999999999996</v>
      </c>
      <c r="Q1166" s="2" t="str">
        <f t="shared" si="18"/>
        <v>High</v>
      </c>
    </row>
    <row r="1167" spans="1:17" x14ac:dyDescent="0.35">
      <c r="A1167" s="2" t="s">
        <v>3086</v>
      </c>
      <c r="B1167" s="2" t="s">
        <v>942</v>
      </c>
      <c r="C1167" s="2" t="s">
        <v>7</v>
      </c>
      <c r="D1167" s="2" t="s">
        <v>155</v>
      </c>
      <c r="E1167" s="2" t="s">
        <v>46</v>
      </c>
      <c r="F1167" s="2">
        <v>53</v>
      </c>
      <c r="G1167" s="2" t="s">
        <v>56</v>
      </c>
      <c r="H1167" s="3" t="s">
        <v>3087</v>
      </c>
      <c r="I1167" s="2"/>
      <c r="J1167" s="2" t="s">
        <v>8</v>
      </c>
      <c r="K1167" s="2">
        <v>65712</v>
      </c>
      <c r="L1167" s="2">
        <v>3</v>
      </c>
      <c r="M1167" s="2">
        <v>2</v>
      </c>
      <c r="N1167" s="2" t="s">
        <v>8</v>
      </c>
      <c r="O1167" s="2">
        <v>41</v>
      </c>
      <c r="P1167" s="2">
        <f ca="1">ROUND((IF(I1167="",TODAY(),I1167)-H1167)/365,1)</f>
        <v>11.5</v>
      </c>
      <c r="Q1167" s="2" t="str">
        <f t="shared" si="18"/>
        <v>Medium</v>
      </c>
    </row>
    <row r="1168" spans="1:17" x14ac:dyDescent="0.35">
      <c r="A1168" s="2" t="s">
        <v>3088</v>
      </c>
      <c r="B1168" s="2" t="s">
        <v>2160</v>
      </c>
      <c r="C1168" s="2" t="s">
        <v>11</v>
      </c>
      <c r="D1168" s="2" t="s">
        <v>45</v>
      </c>
      <c r="E1168" s="2" t="s">
        <v>31</v>
      </c>
      <c r="F1168" s="2">
        <v>43</v>
      </c>
      <c r="G1168" s="2" t="s">
        <v>32</v>
      </c>
      <c r="H1168" s="3" t="s">
        <v>3089</v>
      </c>
      <c r="I1168" s="3" t="s">
        <v>3090</v>
      </c>
      <c r="J1168" s="2" t="s">
        <v>6</v>
      </c>
      <c r="K1168" s="2">
        <v>87065</v>
      </c>
      <c r="L1168" s="2">
        <v>3</v>
      </c>
      <c r="M1168" s="2">
        <v>2</v>
      </c>
      <c r="N1168" s="2" t="s">
        <v>8</v>
      </c>
      <c r="O1168" s="2">
        <v>37</v>
      </c>
      <c r="P1168" s="2">
        <f ca="1">ROUND((IF(I1168="",TODAY(),I1168)-H1168)/365,1)</f>
        <v>2.2000000000000002</v>
      </c>
      <c r="Q1168" s="2" t="str">
        <f t="shared" si="18"/>
        <v>N/A</v>
      </c>
    </row>
    <row r="1169" spans="1:17" x14ac:dyDescent="0.35">
      <c r="A1169" s="2" t="s">
        <v>3091</v>
      </c>
      <c r="B1169" s="2" t="s">
        <v>970</v>
      </c>
      <c r="C1169" s="2" t="s">
        <v>10</v>
      </c>
      <c r="D1169" s="2" t="s">
        <v>111</v>
      </c>
      <c r="E1169" s="2" t="s">
        <v>31</v>
      </c>
      <c r="F1169" s="2">
        <v>42</v>
      </c>
      <c r="G1169" s="2" t="s">
        <v>56</v>
      </c>
      <c r="H1169" s="3" t="s">
        <v>1317</v>
      </c>
      <c r="I1169" s="2"/>
      <c r="J1169" s="2" t="s">
        <v>8</v>
      </c>
      <c r="K1169" s="2">
        <v>69663</v>
      </c>
      <c r="L1169" s="2">
        <v>3</v>
      </c>
      <c r="M1169" s="2">
        <v>4</v>
      </c>
      <c r="N1169" s="2" t="s">
        <v>8</v>
      </c>
      <c r="O1169" s="2">
        <v>36</v>
      </c>
      <c r="P1169" s="2">
        <f ca="1">ROUND((IF(I1169="",TODAY(),I1169)-H1169)/365,1)</f>
        <v>4.5</v>
      </c>
      <c r="Q1169" s="2" t="str">
        <f t="shared" si="18"/>
        <v>Low</v>
      </c>
    </row>
    <row r="1170" spans="1:17" x14ac:dyDescent="0.35">
      <c r="A1170" s="2" t="s">
        <v>3092</v>
      </c>
      <c r="B1170" s="2" t="s">
        <v>1377</v>
      </c>
      <c r="C1170" s="2" t="s">
        <v>12</v>
      </c>
      <c r="D1170" s="2" t="s">
        <v>30</v>
      </c>
      <c r="E1170" s="2" t="s">
        <v>31</v>
      </c>
      <c r="F1170" s="2">
        <v>36</v>
      </c>
      <c r="G1170" s="2" t="s">
        <v>78</v>
      </c>
      <c r="H1170" s="3" t="s">
        <v>1430</v>
      </c>
      <c r="I1170" s="2"/>
      <c r="J1170" s="2" t="s">
        <v>8</v>
      </c>
      <c r="K1170" s="2">
        <v>98832</v>
      </c>
      <c r="L1170" s="2">
        <v>2</v>
      </c>
      <c r="M1170" s="2">
        <v>2</v>
      </c>
      <c r="N1170" s="2" t="s">
        <v>8</v>
      </c>
      <c r="O1170" s="2">
        <v>32</v>
      </c>
      <c r="P1170" s="2">
        <f ca="1">ROUND((IF(I1170="",TODAY(),I1170)-H1170)/365,1)</f>
        <v>3.7</v>
      </c>
      <c r="Q1170" s="2" t="str">
        <f t="shared" si="18"/>
        <v>Medium</v>
      </c>
    </row>
    <row r="1171" spans="1:17" x14ac:dyDescent="0.35">
      <c r="A1171" s="2" t="s">
        <v>3093</v>
      </c>
      <c r="B1171" s="2" t="s">
        <v>3094</v>
      </c>
      <c r="C1171" s="2" t="s">
        <v>9</v>
      </c>
      <c r="D1171" s="2" t="s">
        <v>77</v>
      </c>
      <c r="E1171" s="2" t="s">
        <v>31</v>
      </c>
      <c r="F1171" s="2">
        <v>42</v>
      </c>
      <c r="G1171" s="2" t="s">
        <v>78</v>
      </c>
      <c r="H1171" s="3" t="s">
        <v>3095</v>
      </c>
      <c r="I1171" s="2"/>
      <c r="J1171" s="2" t="s">
        <v>8</v>
      </c>
      <c r="K1171" s="2">
        <v>33772</v>
      </c>
      <c r="L1171" s="2">
        <v>5</v>
      </c>
      <c r="M1171" s="2">
        <v>4</v>
      </c>
      <c r="N1171" s="2" t="s">
        <v>8</v>
      </c>
      <c r="O1171" s="2">
        <v>18</v>
      </c>
      <c r="P1171" s="2">
        <f ca="1">ROUND((IF(I1171="",TODAY(),I1171)-H1171)/365,1)</f>
        <v>10.7</v>
      </c>
      <c r="Q1171" s="2" t="str">
        <f t="shared" si="18"/>
        <v>Low</v>
      </c>
    </row>
    <row r="1172" spans="1:17" x14ac:dyDescent="0.35">
      <c r="A1172" s="2" t="s">
        <v>3096</v>
      </c>
      <c r="B1172" s="2" t="s">
        <v>3097</v>
      </c>
      <c r="C1172" s="2" t="s">
        <v>7</v>
      </c>
      <c r="D1172" s="2" t="s">
        <v>125</v>
      </c>
      <c r="E1172" s="2" t="s">
        <v>31</v>
      </c>
      <c r="F1172" s="2">
        <v>52</v>
      </c>
      <c r="G1172" s="2" t="s">
        <v>56</v>
      </c>
      <c r="H1172" s="3" t="s">
        <v>3098</v>
      </c>
      <c r="I1172" s="2"/>
      <c r="J1172" s="2" t="s">
        <v>8</v>
      </c>
      <c r="K1172" s="2">
        <v>133113</v>
      </c>
      <c r="L1172" s="2">
        <v>3</v>
      </c>
      <c r="M1172" s="2">
        <v>1</v>
      </c>
      <c r="N1172" s="2" t="s">
        <v>6</v>
      </c>
      <c r="O1172" s="2">
        <v>23</v>
      </c>
      <c r="P1172" s="2">
        <f ca="1">ROUND((IF(I1172="",TODAY(),I1172)-H1172)/365,1)</f>
        <v>8.8000000000000007</v>
      </c>
      <c r="Q1172" s="2" t="str">
        <f t="shared" si="18"/>
        <v>High</v>
      </c>
    </row>
    <row r="1173" spans="1:17" x14ac:dyDescent="0.35">
      <c r="A1173" s="2" t="s">
        <v>3099</v>
      </c>
      <c r="B1173" s="2" t="s">
        <v>2103</v>
      </c>
      <c r="C1173" s="2" t="s">
        <v>7</v>
      </c>
      <c r="D1173" s="2" t="s">
        <v>125</v>
      </c>
      <c r="E1173" s="2" t="s">
        <v>46</v>
      </c>
      <c r="F1173" s="2">
        <v>56</v>
      </c>
      <c r="G1173" s="2" t="s">
        <v>78</v>
      </c>
      <c r="H1173" s="3" t="s">
        <v>3100</v>
      </c>
      <c r="I1173" s="2"/>
      <c r="J1173" s="2" t="s">
        <v>8</v>
      </c>
      <c r="K1173" s="2">
        <v>40776</v>
      </c>
      <c r="L1173" s="2">
        <v>5</v>
      </c>
      <c r="M1173" s="2">
        <v>2</v>
      </c>
      <c r="N1173" s="2" t="s">
        <v>8</v>
      </c>
      <c r="O1173" s="2">
        <v>39</v>
      </c>
      <c r="P1173" s="2">
        <f ca="1">ROUND((IF(I1173="",TODAY(),I1173)-H1173)/365,1)</f>
        <v>9.4</v>
      </c>
      <c r="Q1173" s="2" t="str">
        <f t="shared" si="18"/>
        <v>Medium</v>
      </c>
    </row>
    <row r="1174" spans="1:17" x14ac:dyDescent="0.35">
      <c r="A1174" s="2" t="s">
        <v>3101</v>
      </c>
      <c r="B1174" s="2" t="s">
        <v>3102</v>
      </c>
      <c r="C1174" s="2" t="s">
        <v>12</v>
      </c>
      <c r="D1174" s="2" t="s">
        <v>30</v>
      </c>
      <c r="E1174" s="2" t="s">
        <v>46</v>
      </c>
      <c r="F1174" s="2">
        <v>49</v>
      </c>
      <c r="G1174" s="2" t="s">
        <v>32</v>
      </c>
      <c r="H1174" s="3" t="s">
        <v>3103</v>
      </c>
      <c r="I1174" s="3" t="s">
        <v>3104</v>
      </c>
      <c r="J1174" s="2" t="s">
        <v>6</v>
      </c>
      <c r="K1174" s="2">
        <v>51770</v>
      </c>
      <c r="L1174" s="2">
        <v>3</v>
      </c>
      <c r="M1174" s="2">
        <v>1</v>
      </c>
      <c r="N1174" s="2" t="s">
        <v>8</v>
      </c>
      <c r="O1174" s="2">
        <v>17</v>
      </c>
      <c r="P1174" s="2">
        <f ca="1">ROUND((IF(I1174="",TODAY(),I1174)-H1174)/365,1)</f>
        <v>0.3</v>
      </c>
      <c r="Q1174" s="2" t="str">
        <f t="shared" si="18"/>
        <v>N/A</v>
      </c>
    </row>
    <row r="1175" spans="1:17" x14ac:dyDescent="0.35">
      <c r="A1175" s="2" t="s">
        <v>3105</v>
      </c>
      <c r="B1175" s="2" t="s">
        <v>2739</v>
      </c>
      <c r="C1175" s="2" t="s">
        <v>12</v>
      </c>
      <c r="D1175" s="2" t="s">
        <v>55</v>
      </c>
      <c r="E1175" s="2" t="s">
        <v>46</v>
      </c>
      <c r="F1175" s="2">
        <v>51</v>
      </c>
      <c r="G1175" s="2" t="s">
        <v>56</v>
      </c>
      <c r="H1175" s="3" t="s">
        <v>251</v>
      </c>
      <c r="I1175" s="3" t="s">
        <v>318</v>
      </c>
      <c r="J1175" s="2" t="s">
        <v>6</v>
      </c>
      <c r="K1175" s="2">
        <v>75072</v>
      </c>
      <c r="L1175" s="2">
        <v>4</v>
      </c>
      <c r="M1175" s="2">
        <v>2</v>
      </c>
      <c r="N1175" s="2" t="s">
        <v>8</v>
      </c>
      <c r="O1175" s="2">
        <v>41</v>
      </c>
      <c r="P1175" s="2">
        <f ca="1">ROUND((IF(I1175="",TODAY(),I1175)-H1175)/365,1)</f>
        <v>1.4</v>
      </c>
      <c r="Q1175" s="2" t="str">
        <f t="shared" si="18"/>
        <v>N/A</v>
      </c>
    </row>
    <row r="1176" spans="1:17" x14ac:dyDescent="0.35">
      <c r="A1176" s="2" t="s">
        <v>3106</v>
      </c>
      <c r="B1176" s="2" t="s">
        <v>1353</v>
      </c>
      <c r="C1176" s="2" t="s">
        <v>9</v>
      </c>
      <c r="D1176" s="2" t="s">
        <v>51</v>
      </c>
      <c r="E1176" s="2" t="s">
        <v>46</v>
      </c>
      <c r="F1176" s="2">
        <v>34</v>
      </c>
      <c r="G1176" s="2" t="s">
        <v>78</v>
      </c>
      <c r="H1176" s="3" t="s">
        <v>3107</v>
      </c>
      <c r="I1176" s="2"/>
      <c r="J1176" s="2" t="s">
        <v>8</v>
      </c>
      <c r="K1176" s="2">
        <v>41847</v>
      </c>
      <c r="L1176" s="2">
        <v>2</v>
      </c>
      <c r="M1176" s="2">
        <v>3</v>
      </c>
      <c r="N1176" s="2" t="s">
        <v>8</v>
      </c>
      <c r="O1176" s="2">
        <v>38</v>
      </c>
      <c r="P1176" s="2">
        <f ca="1">ROUND((IF(I1176="",TODAY(),I1176)-H1176)/365,1)</f>
        <v>3.7</v>
      </c>
      <c r="Q1176" s="2" t="str">
        <f t="shared" si="18"/>
        <v>Low</v>
      </c>
    </row>
    <row r="1177" spans="1:17" x14ac:dyDescent="0.35">
      <c r="A1177" s="2" t="s">
        <v>3108</v>
      </c>
      <c r="B1177" s="2" t="s">
        <v>1057</v>
      </c>
      <c r="C1177" s="2" t="s">
        <v>5</v>
      </c>
      <c r="D1177" s="2" t="s">
        <v>94</v>
      </c>
      <c r="E1177" s="2" t="s">
        <v>46</v>
      </c>
      <c r="F1177" s="2">
        <v>45</v>
      </c>
      <c r="G1177" s="2" t="s">
        <v>78</v>
      </c>
      <c r="H1177" s="3" t="s">
        <v>3109</v>
      </c>
      <c r="I1177" s="2"/>
      <c r="J1177" s="2" t="s">
        <v>8</v>
      </c>
      <c r="K1177" s="2">
        <v>107429</v>
      </c>
      <c r="L1177" s="2">
        <v>5</v>
      </c>
      <c r="M1177" s="2">
        <v>4</v>
      </c>
      <c r="N1177" s="2" t="s">
        <v>6</v>
      </c>
      <c r="O1177" s="2">
        <v>2</v>
      </c>
      <c r="P1177" s="2">
        <f ca="1">ROUND((IF(I1177="",TODAY(),I1177)-H1177)/365,1)</f>
        <v>10</v>
      </c>
      <c r="Q1177" s="2" t="str">
        <f t="shared" si="18"/>
        <v>Medium</v>
      </c>
    </row>
    <row r="1178" spans="1:17" x14ac:dyDescent="0.35">
      <c r="A1178" s="2" t="s">
        <v>3110</v>
      </c>
      <c r="B1178" s="2" t="s">
        <v>2416</v>
      </c>
      <c r="C1178" s="2" t="s">
        <v>10</v>
      </c>
      <c r="D1178" s="2" t="s">
        <v>111</v>
      </c>
      <c r="E1178" s="2" t="s">
        <v>46</v>
      </c>
      <c r="F1178" s="2">
        <v>40</v>
      </c>
      <c r="G1178" s="2" t="s">
        <v>56</v>
      </c>
      <c r="H1178" s="3" t="s">
        <v>3111</v>
      </c>
      <c r="I1178" s="2"/>
      <c r="J1178" s="2" t="s">
        <v>8</v>
      </c>
      <c r="K1178" s="2">
        <v>32321</v>
      </c>
      <c r="L1178" s="2">
        <v>1</v>
      </c>
      <c r="M1178" s="2">
        <v>5</v>
      </c>
      <c r="N1178" s="2" t="s">
        <v>8</v>
      </c>
      <c r="O1178" s="2">
        <v>33</v>
      </c>
      <c r="P1178" s="2">
        <f ca="1">ROUND((IF(I1178="",TODAY(),I1178)-H1178)/365,1)</f>
        <v>8</v>
      </c>
      <c r="Q1178" s="2" t="str">
        <f t="shared" si="18"/>
        <v>Low</v>
      </c>
    </row>
    <row r="1179" spans="1:17" x14ac:dyDescent="0.35">
      <c r="A1179" s="2" t="s">
        <v>3112</v>
      </c>
      <c r="B1179" s="2" t="s">
        <v>2595</v>
      </c>
      <c r="C1179" s="2" t="s">
        <v>7</v>
      </c>
      <c r="D1179" s="2" t="s">
        <v>125</v>
      </c>
      <c r="E1179" s="2" t="s">
        <v>31</v>
      </c>
      <c r="F1179" s="2">
        <v>31</v>
      </c>
      <c r="G1179" s="2" t="s">
        <v>78</v>
      </c>
      <c r="H1179" s="3" t="s">
        <v>3113</v>
      </c>
      <c r="I1179" s="3" t="s">
        <v>3114</v>
      </c>
      <c r="J1179" s="2" t="s">
        <v>6</v>
      </c>
      <c r="K1179" s="2">
        <v>71803</v>
      </c>
      <c r="L1179" s="2">
        <v>1</v>
      </c>
      <c r="M1179" s="2">
        <v>2</v>
      </c>
      <c r="N1179" s="2" t="s">
        <v>8</v>
      </c>
      <c r="O1179" s="2">
        <v>24</v>
      </c>
      <c r="P1179" s="2">
        <f ca="1">ROUND((IF(I1179="",TODAY(),I1179)-H1179)/365,1)</f>
        <v>4</v>
      </c>
      <c r="Q1179" s="2" t="str">
        <f t="shared" si="18"/>
        <v>N/A</v>
      </c>
    </row>
    <row r="1180" spans="1:17" x14ac:dyDescent="0.35">
      <c r="A1180" s="2" t="s">
        <v>3115</v>
      </c>
      <c r="B1180" s="2" t="s">
        <v>306</v>
      </c>
      <c r="C1180" s="2" t="s">
        <v>5</v>
      </c>
      <c r="D1180" s="2" t="s">
        <v>207</v>
      </c>
      <c r="E1180" s="2" t="s">
        <v>46</v>
      </c>
      <c r="F1180" s="2">
        <v>55</v>
      </c>
      <c r="G1180" s="2" t="s">
        <v>32</v>
      </c>
      <c r="H1180" s="3" t="s">
        <v>2476</v>
      </c>
      <c r="I1180" s="2"/>
      <c r="J1180" s="2" t="s">
        <v>8</v>
      </c>
      <c r="K1180" s="2">
        <v>132852</v>
      </c>
      <c r="L1180" s="2">
        <v>2</v>
      </c>
      <c r="M1180" s="2">
        <v>4</v>
      </c>
      <c r="N1180" s="2" t="s">
        <v>8</v>
      </c>
      <c r="O1180" s="2">
        <v>36</v>
      </c>
      <c r="P1180" s="2">
        <f ca="1">ROUND((IF(I1180="",TODAY(),I1180)-H1180)/365,1)</f>
        <v>6.9</v>
      </c>
      <c r="Q1180" s="2" t="str">
        <f t="shared" si="18"/>
        <v>Low</v>
      </c>
    </row>
    <row r="1181" spans="1:17" x14ac:dyDescent="0.35">
      <c r="A1181" s="2" t="s">
        <v>3116</v>
      </c>
      <c r="B1181" s="2" t="s">
        <v>29</v>
      </c>
      <c r="C1181" s="2" t="s">
        <v>10</v>
      </c>
      <c r="D1181" s="2" t="s">
        <v>111</v>
      </c>
      <c r="E1181" s="2" t="s">
        <v>31</v>
      </c>
      <c r="F1181" s="2">
        <v>37</v>
      </c>
      <c r="G1181" s="2" t="s">
        <v>56</v>
      </c>
      <c r="H1181" s="3" t="s">
        <v>1699</v>
      </c>
      <c r="I1181" s="2"/>
      <c r="J1181" s="2" t="s">
        <v>8</v>
      </c>
      <c r="K1181" s="2">
        <v>109266</v>
      </c>
      <c r="L1181" s="2">
        <v>1</v>
      </c>
      <c r="M1181" s="2">
        <v>5</v>
      </c>
      <c r="N1181" s="2" t="s">
        <v>8</v>
      </c>
      <c r="O1181" s="2">
        <v>4</v>
      </c>
      <c r="P1181" s="2">
        <f ca="1">ROUND((IF(I1181="",TODAY(),I1181)-H1181)/365,1)</f>
        <v>11</v>
      </c>
      <c r="Q1181" s="2" t="str">
        <f t="shared" si="18"/>
        <v>Low</v>
      </c>
    </row>
    <row r="1182" spans="1:17" x14ac:dyDescent="0.35">
      <c r="A1182" s="2" t="s">
        <v>3117</v>
      </c>
      <c r="B1182" s="2" t="s">
        <v>1724</v>
      </c>
      <c r="C1182" s="2" t="s">
        <v>5</v>
      </c>
      <c r="D1182" s="2" t="s">
        <v>94</v>
      </c>
      <c r="E1182" s="2" t="s">
        <v>31</v>
      </c>
      <c r="F1182" s="2">
        <v>30</v>
      </c>
      <c r="G1182" s="2" t="s">
        <v>78</v>
      </c>
      <c r="H1182" s="3" t="s">
        <v>3118</v>
      </c>
      <c r="I1182" s="2"/>
      <c r="J1182" s="2" t="s">
        <v>8</v>
      </c>
      <c r="K1182" s="2">
        <v>91879</v>
      </c>
      <c r="L1182" s="2">
        <v>4</v>
      </c>
      <c r="M1182" s="2">
        <v>4</v>
      </c>
      <c r="N1182" s="2" t="s">
        <v>6</v>
      </c>
      <c r="O1182" s="2">
        <v>2</v>
      </c>
      <c r="P1182" s="2">
        <f ca="1">ROUND((IF(I1182="",TODAY(),I1182)-H1182)/365,1)</f>
        <v>6</v>
      </c>
      <c r="Q1182" s="2" t="str">
        <f t="shared" si="18"/>
        <v>Medium</v>
      </c>
    </row>
    <row r="1183" spans="1:17" x14ac:dyDescent="0.35">
      <c r="A1183" s="2" t="s">
        <v>3119</v>
      </c>
      <c r="B1183" s="2" t="s">
        <v>1830</v>
      </c>
      <c r="C1183" s="2" t="s">
        <v>12</v>
      </c>
      <c r="D1183" s="2" t="s">
        <v>55</v>
      </c>
      <c r="E1183" s="2" t="s">
        <v>46</v>
      </c>
      <c r="F1183" s="2">
        <v>24</v>
      </c>
      <c r="G1183" s="2" t="s">
        <v>32</v>
      </c>
      <c r="H1183" s="3" t="s">
        <v>3100</v>
      </c>
      <c r="I1183" s="2"/>
      <c r="J1183" s="2" t="s">
        <v>8</v>
      </c>
      <c r="K1183" s="2">
        <v>89417</v>
      </c>
      <c r="L1183" s="2">
        <v>2</v>
      </c>
      <c r="M1183" s="2">
        <v>2</v>
      </c>
      <c r="N1183" s="2" t="s">
        <v>8</v>
      </c>
      <c r="O1183" s="2">
        <v>38</v>
      </c>
      <c r="P1183" s="2">
        <f ca="1">ROUND((IF(I1183="",TODAY(),I1183)-H1183)/365,1)</f>
        <v>9.4</v>
      </c>
      <c r="Q1183" s="2" t="str">
        <f t="shared" si="18"/>
        <v>Medium</v>
      </c>
    </row>
    <row r="1184" spans="1:17" x14ac:dyDescent="0.35">
      <c r="A1184" s="2" t="s">
        <v>3120</v>
      </c>
      <c r="B1184" s="2" t="s">
        <v>3121</v>
      </c>
      <c r="C1184" s="2" t="s">
        <v>5</v>
      </c>
      <c r="D1184" s="2" t="s">
        <v>102</v>
      </c>
      <c r="E1184" s="2" t="s">
        <v>46</v>
      </c>
      <c r="F1184" s="2">
        <v>47</v>
      </c>
      <c r="G1184" s="2" t="s">
        <v>56</v>
      </c>
      <c r="H1184" s="3" t="s">
        <v>3122</v>
      </c>
      <c r="I1184" s="3" t="s">
        <v>3123</v>
      </c>
      <c r="J1184" s="2" t="s">
        <v>6</v>
      </c>
      <c r="K1184" s="2">
        <v>59818</v>
      </c>
      <c r="L1184" s="2">
        <v>5</v>
      </c>
      <c r="M1184" s="2">
        <v>1</v>
      </c>
      <c r="N1184" s="2" t="s">
        <v>6</v>
      </c>
      <c r="O1184" s="2">
        <v>19</v>
      </c>
      <c r="P1184" s="2">
        <f ca="1">ROUND((IF(I1184="",TODAY(),I1184)-H1184)/365,1)</f>
        <v>4.5</v>
      </c>
      <c r="Q1184" s="2" t="str">
        <f t="shared" si="18"/>
        <v>N/A</v>
      </c>
    </row>
    <row r="1185" spans="1:17" x14ac:dyDescent="0.35">
      <c r="A1185" s="2" t="s">
        <v>3124</v>
      </c>
      <c r="B1185" s="2" t="s">
        <v>1437</v>
      </c>
      <c r="C1185" s="2" t="s">
        <v>7</v>
      </c>
      <c r="D1185" s="2" t="s">
        <v>155</v>
      </c>
      <c r="E1185" s="2" t="s">
        <v>46</v>
      </c>
      <c r="F1185" s="2">
        <v>42</v>
      </c>
      <c r="G1185" s="2" t="s">
        <v>78</v>
      </c>
      <c r="H1185" s="3" t="s">
        <v>1585</v>
      </c>
      <c r="I1185" s="2"/>
      <c r="J1185" s="2" t="s">
        <v>8</v>
      </c>
      <c r="K1185" s="2">
        <v>28777</v>
      </c>
      <c r="L1185" s="2">
        <v>3</v>
      </c>
      <c r="M1185" s="2">
        <v>1</v>
      </c>
      <c r="N1185" s="2" t="s">
        <v>6</v>
      </c>
      <c r="O1185" s="2">
        <v>29</v>
      </c>
      <c r="P1185" s="2">
        <f ca="1">ROUND((IF(I1185="",TODAY(),I1185)-H1185)/365,1)</f>
        <v>1.5</v>
      </c>
      <c r="Q1185" s="2" t="str">
        <f t="shared" si="18"/>
        <v>High</v>
      </c>
    </row>
    <row r="1186" spans="1:17" x14ac:dyDescent="0.35">
      <c r="A1186" s="2" t="s">
        <v>3125</v>
      </c>
      <c r="B1186" s="2" t="s">
        <v>867</v>
      </c>
      <c r="C1186" s="2" t="s">
        <v>12</v>
      </c>
      <c r="D1186" s="2" t="s">
        <v>55</v>
      </c>
      <c r="E1186" s="2" t="s">
        <v>46</v>
      </c>
      <c r="F1186" s="2">
        <v>29</v>
      </c>
      <c r="G1186" s="2" t="s">
        <v>56</v>
      </c>
      <c r="H1186" s="3" t="s">
        <v>2973</v>
      </c>
      <c r="I1186" s="2"/>
      <c r="J1186" s="2" t="s">
        <v>8</v>
      </c>
      <c r="K1186" s="2">
        <v>124583</v>
      </c>
      <c r="L1186" s="2">
        <v>2</v>
      </c>
      <c r="M1186" s="2">
        <v>1</v>
      </c>
      <c r="N1186" s="2" t="s">
        <v>8</v>
      </c>
      <c r="O1186" s="2">
        <v>13</v>
      </c>
      <c r="P1186" s="2">
        <f ca="1">ROUND((IF(I1186="",TODAY(),I1186)-H1186)/365,1)</f>
        <v>11.1</v>
      </c>
      <c r="Q1186" s="2" t="str">
        <f t="shared" si="18"/>
        <v>Medium</v>
      </c>
    </row>
    <row r="1187" spans="1:17" x14ac:dyDescent="0.35">
      <c r="A1187" s="2" t="s">
        <v>3126</v>
      </c>
      <c r="B1187" s="2" t="s">
        <v>1425</v>
      </c>
      <c r="C1187" s="2" t="s">
        <v>9</v>
      </c>
      <c r="D1187" s="2" t="s">
        <v>77</v>
      </c>
      <c r="E1187" s="2" t="s">
        <v>31</v>
      </c>
      <c r="F1187" s="2">
        <v>45</v>
      </c>
      <c r="G1187" s="2" t="s">
        <v>56</v>
      </c>
      <c r="H1187" s="3" t="s">
        <v>3127</v>
      </c>
      <c r="I1187" s="3" t="s">
        <v>1627</v>
      </c>
      <c r="J1187" s="2" t="s">
        <v>6</v>
      </c>
      <c r="K1187" s="2">
        <v>53417</v>
      </c>
      <c r="L1187" s="2">
        <v>5</v>
      </c>
      <c r="M1187" s="2">
        <v>2</v>
      </c>
      <c r="N1187" s="2" t="s">
        <v>6</v>
      </c>
      <c r="O1187" s="2">
        <v>17</v>
      </c>
      <c r="P1187" s="2">
        <f ca="1">ROUND((IF(I1187="",TODAY(),I1187)-H1187)/365,1)</f>
        <v>0.3</v>
      </c>
      <c r="Q1187" s="2" t="str">
        <f t="shared" si="18"/>
        <v>N/A</v>
      </c>
    </row>
    <row r="1188" spans="1:17" x14ac:dyDescent="0.35">
      <c r="A1188" s="2" t="s">
        <v>3128</v>
      </c>
      <c r="B1188" s="2" t="s">
        <v>3129</v>
      </c>
      <c r="C1188" s="2" t="s">
        <v>7</v>
      </c>
      <c r="D1188" s="2" t="s">
        <v>155</v>
      </c>
      <c r="E1188" s="2" t="s">
        <v>46</v>
      </c>
      <c r="F1188" s="2">
        <v>46</v>
      </c>
      <c r="G1188" s="2" t="s">
        <v>78</v>
      </c>
      <c r="H1188" s="3" t="s">
        <v>3130</v>
      </c>
      <c r="I1188" s="2"/>
      <c r="J1188" s="2" t="s">
        <v>8</v>
      </c>
      <c r="K1188" s="2">
        <v>145693</v>
      </c>
      <c r="L1188" s="2">
        <v>5</v>
      </c>
      <c r="M1188" s="2">
        <v>4</v>
      </c>
      <c r="N1188" s="2" t="s">
        <v>6</v>
      </c>
      <c r="O1188" s="2">
        <v>11</v>
      </c>
      <c r="P1188" s="2">
        <f ca="1">ROUND((IF(I1188="",TODAY(),I1188)-H1188)/365,1)</f>
        <v>3.5</v>
      </c>
      <c r="Q1188" s="2" t="str">
        <f t="shared" si="18"/>
        <v>Medium</v>
      </c>
    </row>
    <row r="1189" spans="1:17" x14ac:dyDescent="0.35">
      <c r="A1189" s="2" t="s">
        <v>3131</v>
      </c>
      <c r="B1189" s="2" t="s">
        <v>1578</v>
      </c>
      <c r="C1189" s="2" t="s">
        <v>11</v>
      </c>
      <c r="D1189" s="2" t="s">
        <v>66</v>
      </c>
      <c r="E1189" s="2" t="s">
        <v>31</v>
      </c>
      <c r="F1189" s="2">
        <v>28</v>
      </c>
      <c r="G1189" s="2" t="s">
        <v>32</v>
      </c>
      <c r="H1189" s="3" t="s">
        <v>3132</v>
      </c>
      <c r="I1189" s="2"/>
      <c r="J1189" s="2" t="s">
        <v>8</v>
      </c>
      <c r="K1189" s="2">
        <v>137350</v>
      </c>
      <c r="L1189" s="2">
        <v>5</v>
      </c>
      <c r="M1189" s="2">
        <v>1</v>
      </c>
      <c r="N1189" s="2" t="s">
        <v>6</v>
      </c>
      <c r="O1189" s="2">
        <v>4</v>
      </c>
      <c r="P1189" s="2">
        <f ca="1">ROUND((IF(I1189="",TODAY(),I1189)-H1189)/365,1)</f>
        <v>1.7</v>
      </c>
      <c r="Q1189" s="2" t="str">
        <f t="shared" si="18"/>
        <v>High</v>
      </c>
    </row>
    <row r="1190" spans="1:17" x14ac:dyDescent="0.35">
      <c r="A1190" s="2" t="s">
        <v>3133</v>
      </c>
      <c r="B1190" s="2" t="s">
        <v>3134</v>
      </c>
      <c r="C1190" s="2" t="s">
        <v>5</v>
      </c>
      <c r="D1190" s="2" t="s">
        <v>207</v>
      </c>
      <c r="E1190" s="2" t="s">
        <v>46</v>
      </c>
      <c r="F1190" s="2">
        <v>32</v>
      </c>
      <c r="G1190" s="2" t="s">
        <v>78</v>
      </c>
      <c r="H1190" s="3" t="s">
        <v>2316</v>
      </c>
      <c r="I1190" s="3" t="s">
        <v>3135</v>
      </c>
      <c r="J1190" s="2" t="s">
        <v>6</v>
      </c>
      <c r="K1190" s="2">
        <v>122235</v>
      </c>
      <c r="L1190" s="2">
        <v>2</v>
      </c>
      <c r="M1190" s="2">
        <v>2</v>
      </c>
      <c r="N1190" s="2" t="s">
        <v>6</v>
      </c>
      <c r="O1190" s="2">
        <v>28</v>
      </c>
      <c r="P1190" s="2">
        <f ca="1">ROUND((IF(I1190="",TODAY(),I1190)-H1190)/365,1)</f>
        <v>4.8</v>
      </c>
      <c r="Q1190" s="2" t="str">
        <f t="shared" si="18"/>
        <v>N/A</v>
      </c>
    </row>
    <row r="1191" spans="1:17" x14ac:dyDescent="0.35">
      <c r="A1191" s="2" t="s">
        <v>3136</v>
      </c>
      <c r="B1191" s="2" t="s">
        <v>2081</v>
      </c>
      <c r="C1191" s="2" t="s">
        <v>12</v>
      </c>
      <c r="D1191" s="2" t="s">
        <v>30</v>
      </c>
      <c r="E1191" s="2" t="s">
        <v>46</v>
      </c>
      <c r="F1191" s="2">
        <v>41</v>
      </c>
      <c r="G1191" s="2" t="s">
        <v>56</v>
      </c>
      <c r="H1191" s="3" t="s">
        <v>3109</v>
      </c>
      <c r="I1191" s="2"/>
      <c r="J1191" s="2" t="s">
        <v>8</v>
      </c>
      <c r="K1191" s="2">
        <v>122551</v>
      </c>
      <c r="L1191" s="2">
        <v>1</v>
      </c>
      <c r="M1191" s="2">
        <v>2</v>
      </c>
      <c r="N1191" s="2" t="s">
        <v>6</v>
      </c>
      <c r="O1191" s="2">
        <v>41</v>
      </c>
      <c r="P1191" s="2">
        <f ca="1">ROUND((IF(I1191="",TODAY(),I1191)-H1191)/365,1)</f>
        <v>10</v>
      </c>
      <c r="Q1191" s="2" t="str">
        <f t="shared" si="18"/>
        <v>High</v>
      </c>
    </row>
    <row r="1192" spans="1:17" x14ac:dyDescent="0.35">
      <c r="A1192" s="2" t="s">
        <v>3137</v>
      </c>
      <c r="B1192" s="2" t="s">
        <v>1195</v>
      </c>
      <c r="C1192" s="2" t="s">
        <v>10</v>
      </c>
      <c r="D1192" s="2" t="s">
        <v>111</v>
      </c>
      <c r="E1192" s="2" t="s">
        <v>31</v>
      </c>
      <c r="F1192" s="2">
        <v>37</v>
      </c>
      <c r="G1192" s="2" t="s">
        <v>32</v>
      </c>
      <c r="H1192" s="3" t="s">
        <v>3138</v>
      </c>
      <c r="I1192" s="2"/>
      <c r="J1192" s="2" t="s">
        <v>8</v>
      </c>
      <c r="K1192" s="2">
        <v>60398</v>
      </c>
      <c r="L1192" s="2">
        <v>5</v>
      </c>
      <c r="M1192" s="2">
        <v>5</v>
      </c>
      <c r="N1192" s="2" t="s">
        <v>8</v>
      </c>
      <c r="O1192" s="2">
        <v>18</v>
      </c>
      <c r="P1192" s="2">
        <f ca="1">ROUND((IF(I1192="",TODAY(),I1192)-H1192)/365,1)</f>
        <v>6.5</v>
      </c>
      <c r="Q1192" s="2" t="str">
        <f t="shared" si="18"/>
        <v>Low</v>
      </c>
    </row>
    <row r="1193" spans="1:17" x14ac:dyDescent="0.35">
      <c r="A1193" s="2" t="s">
        <v>3139</v>
      </c>
      <c r="B1193" s="2" t="s">
        <v>192</v>
      </c>
      <c r="C1193" s="2" t="s">
        <v>10</v>
      </c>
      <c r="D1193" s="2" t="s">
        <v>111</v>
      </c>
      <c r="E1193" s="2" t="s">
        <v>31</v>
      </c>
      <c r="F1193" s="2">
        <v>47</v>
      </c>
      <c r="G1193" s="2" t="s">
        <v>78</v>
      </c>
      <c r="H1193" s="3" t="s">
        <v>3140</v>
      </c>
      <c r="I1193" s="2"/>
      <c r="J1193" s="2" t="s">
        <v>8</v>
      </c>
      <c r="K1193" s="2">
        <v>133848</v>
      </c>
      <c r="L1193" s="2">
        <v>4</v>
      </c>
      <c r="M1193" s="2">
        <v>1</v>
      </c>
      <c r="N1193" s="2" t="s">
        <v>8</v>
      </c>
      <c r="O1193" s="2">
        <v>28</v>
      </c>
      <c r="P1193" s="2">
        <f ca="1">ROUND((IF(I1193="",TODAY(),I1193)-H1193)/365,1)</f>
        <v>4</v>
      </c>
      <c r="Q1193" s="2" t="str">
        <f t="shared" si="18"/>
        <v>Medium</v>
      </c>
    </row>
    <row r="1194" spans="1:17" x14ac:dyDescent="0.35">
      <c r="A1194" s="2" t="s">
        <v>3141</v>
      </c>
      <c r="B1194" s="2" t="s">
        <v>290</v>
      </c>
      <c r="C1194" s="2" t="s">
        <v>5</v>
      </c>
      <c r="D1194" s="2" t="s">
        <v>102</v>
      </c>
      <c r="E1194" s="2" t="s">
        <v>31</v>
      </c>
      <c r="F1194" s="2">
        <v>40</v>
      </c>
      <c r="G1194" s="2" t="s">
        <v>32</v>
      </c>
      <c r="H1194" s="3" t="s">
        <v>1003</v>
      </c>
      <c r="I1194" s="2"/>
      <c r="J1194" s="2" t="s">
        <v>8</v>
      </c>
      <c r="K1194" s="2">
        <v>60646</v>
      </c>
      <c r="L1194" s="2">
        <v>1</v>
      </c>
      <c r="M1194" s="2">
        <v>3</v>
      </c>
      <c r="N1194" s="2" t="s">
        <v>8</v>
      </c>
      <c r="O1194" s="2">
        <v>43</v>
      </c>
      <c r="P1194" s="2">
        <f ca="1">ROUND((IF(I1194="",TODAY(),I1194)-H1194)/365,1)</f>
        <v>3.5</v>
      </c>
      <c r="Q1194" s="2" t="str">
        <f t="shared" si="18"/>
        <v>Low</v>
      </c>
    </row>
    <row r="1195" spans="1:17" x14ac:dyDescent="0.35">
      <c r="A1195" s="2" t="s">
        <v>3142</v>
      </c>
      <c r="B1195" s="2" t="s">
        <v>532</v>
      </c>
      <c r="C1195" s="2" t="s">
        <v>10</v>
      </c>
      <c r="D1195" s="2" t="s">
        <v>111</v>
      </c>
      <c r="E1195" s="2" t="s">
        <v>31</v>
      </c>
      <c r="F1195" s="2">
        <v>57</v>
      </c>
      <c r="G1195" s="2" t="s">
        <v>32</v>
      </c>
      <c r="H1195" s="3" t="s">
        <v>2285</v>
      </c>
      <c r="I1195" s="2"/>
      <c r="J1195" s="2" t="s">
        <v>8</v>
      </c>
      <c r="K1195" s="2">
        <v>72714</v>
      </c>
      <c r="L1195" s="2">
        <v>1</v>
      </c>
      <c r="M1195" s="2">
        <v>2</v>
      </c>
      <c r="N1195" s="2" t="s">
        <v>8</v>
      </c>
      <c r="O1195" s="2">
        <v>19</v>
      </c>
      <c r="P1195" s="2">
        <f ca="1">ROUND((IF(I1195="",TODAY(),I1195)-H1195)/365,1)</f>
        <v>3.7</v>
      </c>
      <c r="Q1195" s="2" t="str">
        <f t="shared" si="18"/>
        <v>Medium</v>
      </c>
    </row>
    <row r="1196" spans="1:17" x14ac:dyDescent="0.35">
      <c r="A1196" s="2" t="s">
        <v>3143</v>
      </c>
      <c r="B1196" s="2" t="s">
        <v>434</v>
      </c>
      <c r="C1196" s="2" t="s">
        <v>10</v>
      </c>
      <c r="D1196" s="2" t="s">
        <v>258</v>
      </c>
      <c r="E1196" s="2" t="s">
        <v>31</v>
      </c>
      <c r="F1196" s="2">
        <v>57</v>
      </c>
      <c r="G1196" s="2" t="s">
        <v>78</v>
      </c>
      <c r="H1196" s="3" t="s">
        <v>3144</v>
      </c>
      <c r="I1196" s="2"/>
      <c r="J1196" s="2" t="s">
        <v>8</v>
      </c>
      <c r="K1196" s="2">
        <v>101049</v>
      </c>
      <c r="L1196" s="2">
        <v>4</v>
      </c>
      <c r="M1196" s="2">
        <v>3</v>
      </c>
      <c r="N1196" s="2" t="s">
        <v>6</v>
      </c>
      <c r="O1196" s="2">
        <v>12</v>
      </c>
      <c r="P1196" s="2">
        <f ca="1">ROUND((IF(I1196="",TODAY(),I1196)-H1196)/365,1)</f>
        <v>5.5</v>
      </c>
      <c r="Q1196" s="2" t="str">
        <f t="shared" si="18"/>
        <v>Medium</v>
      </c>
    </row>
    <row r="1197" spans="1:17" x14ac:dyDescent="0.35">
      <c r="A1197" s="2" t="s">
        <v>3145</v>
      </c>
      <c r="B1197" s="2" t="s">
        <v>1587</v>
      </c>
      <c r="C1197" s="2" t="s">
        <v>9</v>
      </c>
      <c r="D1197" s="2" t="s">
        <v>41</v>
      </c>
      <c r="E1197" s="2" t="s">
        <v>31</v>
      </c>
      <c r="F1197" s="2">
        <v>48</v>
      </c>
      <c r="G1197" s="2" t="s">
        <v>32</v>
      </c>
      <c r="H1197" s="3" t="s">
        <v>3146</v>
      </c>
      <c r="I1197" s="2"/>
      <c r="J1197" s="2" t="s">
        <v>8</v>
      </c>
      <c r="K1197" s="2">
        <v>140968</v>
      </c>
      <c r="L1197" s="2">
        <v>5</v>
      </c>
      <c r="M1197" s="2">
        <v>1</v>
      </c>
      <c r="N1197" s="2" t="s">
        <v>8</v>
      </c>
      <c r="O1197" s="2">
        <v>17</v>
      </c>
      <c r="P1197" s="2">
        <f ca="1">ROUND((IF(I1197="",TODAY(),I1197)-H1197)/365,1)</f>
        <v>7.6</v>
      </c>
      <c r="Q1197" s="2" t="str">
        <f t="shared" si="18"/>
        <v>Medium</v>
      </c>
    </row>
    <row r="1198" spans="1:17" x14ac:dyDescent="0.35">
      <c r="A1198" s="2" t="s">
        <v>3147</v>
      </c>
      <c r="B1198" s="2" t="s">
        <v>516</v>
      </c>
      <c r="C1198" s="2" t="s">
        <v>9</v>
      </c>
      <c r="D1198" s="2" t="s">
        <v>77</v>
      </c>
      <c r="E1198" s="2" t="s">
        <v>46</v>
      </c>
      <c r="F1198" s="2">
        <v>32</v>
      </c>
      <c r="G1198" s="2" t="s">
        <v>56</v>
      </c>
      <c r="H1198" s="3" t="s">
        <v>2110</v>
      </c>
      <c r="I1198" s="2"/>
      <c r="J1198" s="2" t="s">
        <v>8</v>
      </c>
      <c r="K1198" s="2">
        <v>69780</v>
      </c>
      <c r="L1198" s="2">
        <v>2</v>
      </c>
      <c r="M1198" s="2">
        <v>5</v>
      </c>
      <c r="N1198" s="2" t="s">
        <v>6</v>
      </c>
      <c r="O1198" s="2">
        <v>39</v>
      </c>
      <c r="P1198" s="2">
        <f ca="1">ROUND((IF(I1198="",TODAY(),I1198)-H1198)/365,1)</f>
        <v>1.6</v>
      </c>
      <c r="Q1198" s="2" t="str">
        <f t="shared" si="18"/>
        <v>Medium</v>
      </c>
    </row>
    <row r="1199" spans="1:17" x14ac:dyDescent="0.35">
      <c r="A1199" s="2" t="s">
        <v>3148</v>
      </c>
      <c r="B1199" s="2" t="s">
        <v>154</v>
      </c>
      <c r="C1199" s="2" t="s">
        <v>12</v>
      </c>
      <c r="D1199" s="2" t="s">
        <v>30</v>
      </c>
      <c r="E1199" s="2" t="s">
        <v>31</v>
      </c>
      <c r="F1199" s="2">
        <v>27</v>
      </c>
      <c r="G1199" s="2" t="s">
        <v>56</v>
      </c>
      <c r="H1199" s="3" t="s">
        <v>2875</v>
      </c>
      <c r="I1199" s="3" t="s">
        <v>3149</v>
      </c>
      <c r="J1199" s="2" t="s">
        <v>6</v>
      </c>
      <c r="K1199" s="2">
        <v>30502</v>
      </c>
      <c r="L1199" s="2">
        <v>5</v>
      </c>
      <c r="M1199" s="2">
        <v>1</v>
      </c>
      <c r="N1199" s="2" t="s">
        <v>8</v>
      </c>
      <c r="O1199" s="2">
        <v>35</v>
      </c>
      <c r="P1199" s="2">
        <f ca="1">ROUND((IF(I1199="",TODAY(),I1199)-H1199)/365,1)</f>
        <v>0.2</v>
      </c>
      <c r="Q1199" s="2" t="str">
        <f t="shared" si="18"/>
        <v>N/A</v>
      </c>
    </row>
    <row r="1200" spans="1:17" x14ac:dyDescent="0.35">
      <c r="A1200" s="2" t="s">
        <v>3150</v>
      </c>
      <c r="B1200" s="2" t="s">
        <v>1584</v>
      </c>
      <c r="C1200" s="2" t="s">
        <v>9</v>
      </c>
      <c r="D1200" s="2" t="s">
        <v>77</v>
      </c>
      <c r="E1200" s="2" t="s">
        <v>31</v>
      </c>
      <c r="F1200" s="2">
        <v>53</v>
      </c>
      <c r="G1200" s="2" t="s">
        <v>56</v>
      </c>
      <c r="H1200" s="3" t="s">
        <v>3151</v>
      </c>
      <c r="I1200" s="2"/>
      <c r="J1200" s="2" t="s">
        <v>8</v>
      </c>
      <c r="K1200" s="2">
        <v>93566</v>
      </c>
      <c r="L1200" s="2">
        <v>5</v>
      </c>
      <c r="M1200" s="2">
        <v>3</v>
      </c>
      <c r="N1200" s="2" t="s">
        <v>6</v>
      </c>
      <c r="O1200" s="2">
        <v>26</v>
      </c>
      <c r="P1200" s="2">
        <f ca="1">ROUND((IF(I1200="",TODAY(),I1200)-H1200)/365,1)</f>
        <v>10.3</v>
      </c>
      <c r="Q1200" s="2" t="str">
        <f t="shared" si="18"/>
        <v>Medium</v>
      </c>
    </row>
    <row r="1201" spans="1:17" x14ac:dyDescent="0.35">
      <c r="A1201" s="2" t="s">
        <v>3152</v>
      </c>
      <c r="B1201" s="2" t="s">
        <v>2791</v>
      </c>
      <c r="C1201" s="2" t="s">
        <v>7</v>
      </c>
      <c r="D1201" s="2" t="s">
        <v>37</v>
      </c>
      <c r="E1201" s="2" t="s">
        <v>46</v>
      </c>
      <c r="F1201" s="2">
        <v>36</v>
      </c>
      <c r="G1201" s="2" t="s">
        <v>56</v>
      </c>
      <c r="H1201" s="3" t="s">
        <v>963</v>
      </c>
      <c r="I1201" s="2"/>
      <c r="J1201" s="2" t="s">
        <v>8</v>
      </c>
      <c r="K1201" s="2">
        <v>142071</v>
      </c>
      <c r="L1201" s="2">
        <v>2</v>
      </c>
      <c r="M1201" s="2">
        <v>2</v>
      </c>
      <c r="N1201" s="2" t="s">
        <v>8</v>
      </c>
      <c r="O1201" s="2">
        <v>1</v>
      </c>
      <c r="P1201" s="2">
        <f ca="1">ROUND((IF(I1201="",TODAY(),I1201)-H1201)/365,1)</f>
        <v>4.4000000000000004</v>
      </c>
      <c r="Q1201" s="2" t="str">
        <f t="shared" si="18"/>
        <v>Medium</v>
      </c>
    </row>
  </sheetData>
  <conditionalFormatting sqref="Q2:Q1201">
    <cfRule type="cellIs" dxfId="46" priority="2" operator="equal">
      <formula>"High"</formula>
    </cfRule>
    <cfRule type="cellIs" dxfId="45" priority="3" operator="equal">
      <formula>"Medium"</formula>
    </cfRule>
  </conditionalFormatting>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7E500-5A54-4799-B614-0A212568BF6D}">
  <dimension ref="A3:D11"/>
  <sheetViews>
    <sheetView workbookViewId="0">
      <selection activeCell="J20" sqref="J20"/>
    </sheetView>
  </sheetViews>
  <sheetFormatPr defaultRowHeight="14.5" x14ac:dyDescent="0.35"/>
  <cols>
    <col min="1" max="1" width="18.7265625" bestFit="1" customWidth="1"/>
    <col min="2" max="2" width="15.26953125" bestFit="1" customWidth="1"/>
    <col min="3" max="3" width="3.81640625" bestFit="1" customWidth="1"/>
    <col min="4" max="4" width="10.7265625" bestFit="1" customWidth="1"/>
  </cols>
  <sheetData>
    <row r="3" spans="1:4" x14ac:dyDescent="0.35">
      <c r="A3" s="4" t="s">
        <v>3156</v>
      </c>
      <c r="B3" s="4" t="s">
        <v>3155</v>
      </c>
    </row>
    <row r="4" spans="1:4" x14ac:dyDescent="0.35">
      <c r="A4" s="4" t="s">
        <v>3153</v>
      </c>
      <c r="B4" t="s">
        <v>8</v>
      </c>
      <c r="C4" t="s">
        <v>6</v>
      </c>
      <c r="D4" t="s">
        <v>3154</v>
      </c>
    </row>
    <row r="5" spans="1:4" x14ac:dyDescent="0.35">
      <c r="A5" s="5" t="s">
        <v>10</v>
      </c>
      <c r="B5" s="6">
        <v>148</v>
      </c>
      <c r="C5" s="6">
        <v>48</v>
      </c>
      <c r="D5" s="6">
        <v>196</v>
      </c>
    </row>
    <row r="6" spans="1:4" x14ac:dyDescent="0.35">
      <c r="A6" s="5" t="s">
        <v>9</v>
      </c>
      <c r="B6" s="6">
        <v>141</v>
      </c>
      <c r="C6" s="6">
        <v>64</v>
      </c>
      <c r="D6" s="6">
        <v>205</v>
      </c>
    </row>
    <row r="7" spans="1:4" x14ac:dyDescent="0.35">
      <c r="A7" s="5" t="s">
        <v>7</v>
      </c>
      <c r="B7" s="6">
        <v>141</v>
      </c>
      <c r="C7" s="6">
        <v>47</v>
      </c>
      <c r="D7" s="6">
        <v>188</v>
      </c>
    </row>
    <row r="8" spans="1:4" x14ac:dyDescent="0.35">
      <c r="A8" s="5" t="s">
        <v>12</v>
      </c>
      <c r="B8" s="6">
        <v>153</v>
      </c>
      <c r="C8" s="6">
        <v>64</v>
      </c>
      <c r="D8" s="6">
        <v>217</v>
      </c>
    </row>
    <row r="9" spans="1:4" x14ac:dyDescent="0.35">
      <c r="A9" s="5" t="s">
        <v>11</v>
      </c>
      <c r="B9" s="6">
        <v>158</v>
      </c>
      <c r="C9" s="6">
        <v>46</v>
      </c>
      <c r="D9" s="6">
        <v>204</v>
      </c>
    </row>
    <row r="10" spans="1:4" x14ac:dyDescent="0.35">
      <c r="A10" s="5" t="s">
        <v>5</v>
      </c>
      <c r="B10" s="6">
        <v>138</v>
      </c>
      <c r="C10" s="6">
        <v>52</v>
      </c>
      <c r="D10" s="6">
        <v>190</v>
      </c>
    </row>
    <row r="11" spans="1:4" x14ac:dyDescent="0.35">
      <c r="A11" s="5" t="s">
        <v>3154</v>
      </c>
      <c r="B11" s="6">
        <v>879</v>
      </c>
      <c r="C11" s="6">
        <v>321</v>
      </c>
      <c r="D11" s="6">
        <v>1200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144F-9FFF-47B1-9AF6-FA466B5F5D4C}">
  <dimension ref="A3:D7"/>
  <sheetViews>
    <sheetView workbookViewId="0">
      <selection activeCell="A3" sqref="A3"/>
    </sheetView>
  </sheetViews>
  <sheetFormatPr defaultRowHeight="14.5" x14ac:dyDescent="0.35"/>
  <cols>
    <col min="1" max="1" width="18.7265625" bestFit="1" customWidth="1"/>
    <col min="2" max="2" width="15.26953125" bestFit="1" customWidth="1"/>
    <col min="3" max="3" width="3.81640625" bestFit="1" customWidth="1"/>
    <col min="4" max="4" width="10.7265625" bestFit="1" customWidth="1"/>
  </cols>
  <sheetData>
    <row r="3" spans="1:4" x14ac:dyDescent="0.35">
      <c r="A3" s="4" t="s">
        <v>3156</v>
      </c>
      <c r="B3" s="4" t="s">
        <v>3155</v>
      </c>
    </row>
    <row r="4" spans="1:4" x14ac:dyDescent="0.35">
      <c r="A4" s="4" t="s">
        <v>3153</v>
      </c>
      <c r="B4" t="s">
        <v>8</v>
      </c>
      <c r="C4" t="s">
        <v>6</v>
      </c>
      <c r="D4" t="s">
        <v>3154</v>
      </c>
    </row>
    <row r="5" spans="1:4" x14ac:dyDescent="0.35">
      <c r="A5" s="5" t="s">
        <v>8</v>
      </c>
      <c r="B5" s="6">
        <v>590</v>
      </c>
      <c r="C5" s="6">
        <v>171</v>
      </c>
      <c r="D5" s="6">
        <v>761</v>
      </c>
    </row>
    <row r="6" spans="1:4" x14ac:dyDescent="0.35">
      <c r="A6" s="5" t="s">
        <v>6</v>
      </c>
      <c r="B6" s="6">
        <v>289</v>
      </c>
      <c r="C6" s="6">
        <v>150</v>
      </c>
      <c r="D6" s="6">
        <v>439</v>
      </c>
    </row>
    <row r="7" spans="1:4" x14ac:dyDescent="0.35">
      <c r="A7" s="5" t="s">
        <v>3154</v>
      </c>
      <c r="B7" s="6">
        <v>879</v>
      </c>
      <c r="C7" s="6">
        <v>321</v>
      </c>
      <c r="D7" s="6">
        <v>1200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D85D-C3F6-42FB-93EF-FAA5A117B6AC}">
  <dimension ref="A3:D10"/>
  <sheetViews>
    <sheetView topLeftCell="B1" workbookViewId="0">
      <selection activeCell="B6" sqref="B6"/>
    </sheetView>
  </sheetViews>
  <sheetFormatPr defaultRowHeight="14.5" x14ac:dyDescent="0.35"/>
  <cols>
    <col min="1" max="1" width="18.7265625" bestFit="1" customWidth="1"/>
    <col min="2" max="2" width="15.26953125" bestFit="1" customWidth="1"/>
    <col min="3" max="3" width="3.81640625" bestFit="1" customWidth="1"/>
    <col min="4" max="4" width="10.7265625" bestFit="1" customWidth="1"/>
  </cols>
  <sheetData>
    <row r="3" spans="1:4" x14ac:dyDescent="0.35">
      <c r="A3" s="4" t="s">
        <v>3156</v>
      </c>
      <c r="B3" s="4" t="s">
        <v>3155</v>
      </c>
    </row>
    <row r="4" spans="1:4" x14ac:dyDescent="0.35">
      <c r="A4" s="4" t="s">
        <v>3153</v>
      </c>
      <c r="B4" t="s">
        <v>8</v>
      </c>
      <c r="C4" t="s">
        <v>6</v>
      </c>
      <c r="D4" t="s">
        <v>3154</v>
      </c>
    </row>
    <row r="5" spans="1:4" x14ac:dyDescent="0.35">
      <c r="A5" s="5">
        <v>1</v>
      </c>
      <c r="B5" s="6">
        <v>166</v>
      </c>
      <c r="C5" s="6">
        <v>79</v>
      </c>
      <c r="D5" s="6">
        <v>245</v>
      </c>
    </row>
    <row r="6" spans="1:4" x14ac:dyDescent="0.35">
      <c r="A6" s="5">
        <v>2</v>
      </c>
      <c r="B6" s="6">
        <v>152</v>
      </c>
      <c r="C6" s="6">
        <v>96</v>
      </c>
      <c r="D6" s="6">
        <v>248</v>
      </c>
    </row>
    <row r="7" spans="1:4" x14ac:dyDescent="0.35">
      <c r="A7" s="5">
        <v>3</v>
      </c>
      <c r="B7" s="6">
        <v>182</v>
      </c>
      <c r="C7" s="6">
        <v>40</v>
      </c>
      <c r="D7" s="6">
        <v>222</v>
      </c>
    </row>
    <row r="8" spans="1:4" x14ac:dyDescent="0.35">
      <c r="A8" s="5">
        <v>4</v>
      </c>
      <c r="B8" s="6">
        <v>193</v>
      </c>
      <c r="C8" s="6">
        <v>60</v>
      </c>
      <c r="D8" s="6">
        <v>253</v>
      </c>
    </row>
    <row r="9" spans="1:4" x14ac:dyDescent="0.35">
      <c r="A9" s="5">
        <v>5</v>
      </c>
      <c r="B9" s="6">
        <v>186</v>
      </c>
      <c r="C9" s="6">
        <v>46</v>
      </c>
      <c r="D9" s="6">
        <v>232</v>
      </c>
    </row>
    <row r="10" spans="1:4" x14ac:dyDescent="0.35">
      <c r="A10" s="5" t="s">
        <v>3154</v>
      </c>
      <c r="B10" s="6">
        <v>879</v>
      </c>
      <c r="C10" s="6">
        <v>321</v>
      </c>
      <c r="D10" s="6">
        <v>1200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6516A-88AB-4A4C-A945-5B1ADB3F916F}">
  <dimension ref="A3:B10"/>
  <sheetViews>
    <sheetView workbookViewId="0">
      <selection activeCell="J24" sqref="J24"/>
    </sheetView>
  </sheetViews>
  <sheetFormatPr defaultRowHeight="14.5" x14ac:dyDescent="0.35"/>
  <cols>
    <col min="1" max="1" width="12.36328125" bestFit="1" customWidth="1"/>
    <col min="2" max="2" width="23.7265625" bestFit="1" customWidth="1"/>
  </cols>
  <sheetData>
    <row r="3" spans="1:2" x14ac:dyDescent="0.35">
      <c r="A3" s="4" t="s">
        <v>3153</v>
      </c>
      <c r="B3" t="s">
        <v>3159</v>
      </c>
    </row>
    <row r="4" spans="1:2" x14ac:dyDescent="0.35">
      <c r="A4" s="5" t="s">
        <v>10</v>
      </c>
      <c r="B4" s="16">
        <v>91365.163265306124</v>
      </c>
    </row>
    <row r="5" spans="1:2" x14ac:dyDescent="0.35">
      <c r="A5" s="5" t="s">
        <v>9</v>
      </c>
      <c r="B5" s="16">
        <v>90832.951219512193</v>
      </c>
    </row>
    <row r="6" spans="1:2" x14ac:dyDescent="0.35">
      <c r="A6" s="5" t="s">
        <v>7</v>
      </c>
      <c r="B6" s="16">
        <v>92770.281914893611</v>
      </c>
    </row>
    <row r="7" spans="1:2" x14ac:dyDescent="0.35">
      <c r="A7" s="5" t="s">
        <v>12</v>
      </c>
      <c r="B7" s="16">
        <v>86631.82488479263</v>
      </c>
    </row>
    <row r="8" spans="1:2" x14ac:dyDescent="0.35">
      <c r="A8" s="5" t="s">
        <v>11</v>
      </c>
      <c r="B8" s="16">
        <v>92405.333333333328</v>
      </c>
    </row>
    <row r="9" spans="1:2" x14ac:dyDescent="0.35">
      <c r="A9" s="5" t="s">
        <v>5</v>
      </c>
      <c r="B9" s="16">
        <v>87253.468421052632</v>
      </c>
    </row>
    <row r="10" spans="1:2" x14ac:dyDescent="0.35">
      <c r="A10" s="5" t="s">
        <v>3154</v>
      </c>
      <c r="B10" s="16">
        <v>90164.244166666671</v>
      </c>
    </row>
  </sheetData>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1B3D4-1E47-4258-8E6C-3776CC627F35}">
  <dimension ref="A3:B6"/>
  <sheetViews>
    <sheetView workbookViewId="0">
      <selection activeCell="G14" sqref="G14"/>
    </sheetView>
  </sheetViews>
  <sheetFormatPr defaultRowHeight="14.5" x14ac:dyDescent="0.35"/>
  <cols>
    <col min="1" max="1" width="12.36328125" bestFit="1" customWidth="1"/>
    <col min="2" max="2" width="18.7265625" bestFit="1" customWidth="1"/>
  </cols>
  <sheetData>
    <row r="3" spans="1:2" x14ac:dyDescent="0.35">
      <c r="A3" s="4" t="s">
        <v>3153</v>
      </c>
      <c r="B3" t="s">
        <v>3156</v>
      </c>
    </row>
    <row r="4" spans="1:2" x14ac:dyDescent="0.35">
      <c r="A4" s="5" t="s">
        <v>46</v>
      </c>
      <c r="B4" s="6">
        <v>595</v>
      </c>
    </row>
    <row r="5" spans="1:2" x14ac:dyDescent="0.35">
      <c r="A5" s="5" t="s">
        <v>31</v>
      </c>
      <c r="B5" s="6">
        <v>605</v>
      </c>
    </row>
    <row r="6" spans="1:2" x14ac:dyDescent="0.35">
      <c r="A6" s="5" t="s">
        <v>3154</v>
      </c>
      <c r="B6" s="6">
        <v>1200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8AE36-6413-4888-B563-84A4D8FF7A10}">
  <dimension ref="A3:G24"/>
  <sheetViews>
    <sheetView workbookViewId="0">
      <selection activeCell="G24" sqref="G24"/>
    </sheetView>
  </sheetViews>
  <sheetFormatPr defaultRowHeight="14.5" x14ac:dyDescent="0.35"/>
  <cols>
    <col min="1" max="1" width="12.36328125" bestFit="1" customWidth="1"/>
    <col min="2" max="2" width="18.7265625" bestFit="1" customWidth="1"/>
    <col min="3" max="3" width="20.81640625" bestFit="1" customWidth="1"/>
  </cols>
  <sheetData>
    <row r="3" spans="1:7" x14ac:dyDescent="0.35">
      <c r="A3" t="s">
        <v>3158</v>
      </c>
    </row>
    <row r="4" spans="1:7" x14ac:dyDescent="0.35">
      <c r="A4" s="6">
        <v>108197093</v>
      </c>
    </row>
    <row r="7" spans="1:7" x14ac:dyDescent="0.35">
      <c r="A7" t="s">
        <v>3156</v>
      </c>
      <c r="B7" t="s">
        <v>3158</v>
      </c>
      <c r="E7">
        <f>COUNTA(RawData!A2:A1201)</f>
        <v>1200</v>
      </c>
    </row>
    <row r="8" spans="1:7" x14ac:dyDescent="0.35">
      <c r="A8" s="6">
        <v>1200</v>
      </c>
      <c r="B8" s="6">
        <v>108197093</v>
      </c>
      <c r="E8">
        <f>COUNTIF(RawData!J2:J1201,"Yes")</f>
        <v>321</v>
      </c>
      <c r="G8" s="9">
        <f>E8/E7</f>
        <v>0.26750000000000002</v>
      </c>
    </row>
    <row r="13" spans="1:7" x14ac:dyDescent="0.35">
      <c r="A13" s="4" t="s">
        <v>3153</v>
      </c>
      <c r="B13" t="s">
        <v>3156</v>
      </c>
      <c r="C13" t="s">
        <v>3160</v>
      </c>
    </row>
    <row r="14" spans="1:7" x14ac:dyDescent="0.35">
      <c r="A14" s="5" t="s">
        <v>8</v>
      </c>
      <c r="B14" s="6">
        <v>879</v>
      </c>
      <c r="C14" s="7">
        <v>6.3450511945392361</v>
      </c>
    </row>
    <row r="15" spans="1:7" x14ac:dyDescent="0.35">
      <c r="A15" s="5" t="s">
        <v>6</v>
      </c>
      <c r="B15" s="6">
        <v>321</v>
      </c>
      <c r="C15" s="7">
        <v>3.4230529595015575</v>
      </c>
    </row>
    <row r="16" spans="1:7" x14ac:dyDescent="0.35">
      <c r="A16" s="5" t="s">
        <v>3154</v>
      </c>
      <c r="B16" s="6">
        <v>1200</v>
      </c>
      <c r="C16" s="8">
        <v>5.5634166666666571</v>
      </c>
    </row>
    <row r="19" spans="1:7" x14ac:dyDescent="0.35">
      <c r="A19" s="4" t="s">
        <v>3153</v>
      </c>
      <c r="B19" t="s">
        <v>3156</v>
      </c>
    </row>
    <row r="20" spans="1:7" x14ac:dyDescent="0.35">
      <c r="A20" s="5" t="s">
        <v>8</v>
      </c>
      <c r="B20" s="6">
        <v>879</v>
      </c>
      <c r="F20" s="18" t="s">
        <v>2</v>
      </c>
    </row>
    <row r="21" spans="1:7" x14ac:dyDescent="0.35">
      <c r="A21" s="5" t="s">
        <v>6</v>
      </c>
      <c r="B21" s="6">
        <v>321</v>
      </c>
    </row>
    <row r="22" spans="1:7" x14ac:dyDescent="0.35">
      <c r="A22" s="5" t="s">
        <v>3154</v>
      </c>
      <c r="B22" s="6">
        <v>1200</v>
      </c>
    </row>
    <row r="24" spans="1:7" x14ac:dyDescent="0.35">
      <c r="G24" s="18" t="s">
        <v>2</v>
      </c>
    </row>
  </sheetData>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F1106-0FC6-4A52-8D2F-ED3ABDAFD9B2}">
  <dimension ref="C5:R17"/>
  <sheetViews>
    <sheetView showGridLines="0" tabSelected="1" zoomScale="65" workbookViewId="0">
      <selection activeCell="M13" sqref="M13"/>
    </sheetView>
  </sheetViews>
  <sheetFormatPr defaultRowHeight="14.5" x14ac:dyDescent="0.35"/>
  <cols>
    <col min="1" max="2" width="8.7265625" style="11"/>
    <col min="3" max="3" width="15.90625" style="11" customWidth="1"/>
    <col min="4" max="4" width="8.7265625" style="11"/>
    <col min="5" max="5" width="15.453125" style="11" bestFit="1" customWidth="1"/>
    <col min="6" max="6" width="8.7265625" style="11"/>
    <col min="7" max="7" width="19.453125" style="11" customWidth="1"/>
    <col min="8" max="8" width="8.7265625" style="11"/>
    <col min="9" max="9" width="14" style="11" customWidth="1"/>
    <col min="10" max="13" width="8.7265625" style="11"/>
    <col min="14" max="14" width="11.7265625" style="11" bestFit="1" customWidth="1"/>
    <col min="15" max="16384" width="8.7265625" style="11"/>
  </cols>
  <sheetData>
    <row r="5" spans="3:9" x14ac:dyDescent="0.35">
      <c r="C5" s="10"/>
    </row>
    <row r="6" spans="3:9" ht="36" x14ac:dyDescent="0.8">
      <c r="C6" s="12">
        <f>COUNTA(Table1[EmployeeID])</f>
        <v>1200</v>
      </c>
      <c r="E6" s="12"/>
      <c r="G6" s="14">
        <f>E6/C6</f>
        <v>0</v>
      </c>
      <c r="I6" s="15">
        <f ca="1">AVERAGE(Table1[TenureYears])</f>
        <v>5.566166666666664</v>
      </c>
    </row>
    <row r="7" spans="3:9" x14ac:dyDescent="0.35">
      <c r="C7" s="13" t="s">
        <v>0</v>
      </c>
      <c r="E7" s="13" t="s">
        <v>1</v>
      </c>
      <c r="G7" s="13" t="s">
        <v>2</v>
      </c>
      <c r="I7" s="13" t="s">
        <v>3157</v>
      </c>
    </row>
    <row r="17" spans="18:18" x14ac:dyDescent="0.35">
      <c r="R17" s="17">
        <f>GETPIVOTDATA("Count of EmployeeID",PivotTable7!$A$13,"Attrition","Yes")/GETPIVOTDATA("Count of EmployeeID",PivotTable7!$A$13)</f>
        <v>0.26750000000000002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RawData</vt:lpstr>
      <vt:lpstr>PivotTable1</vt:lpstr>
      <vt:lpstr>PivotTable2</vt:lpstr>
      <vt:lpstr>PivotTable3</vt:lpstr>
      <vt:lpstr>PivotTable4</vt:lpstr>
      <vt:lpstr>PivotTable5</vt:lpstr>
      <vt:lpstr>PivotTable7</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Sandhya Marke</cp:lastModifiedBy>
  <cp:revision>1</cp:revision>
  <dcterms:created xsi:type="dcterms:W3CDTF">2026-08-07T15:38:00Z</dcterms:created>
  <dcterms:modified xsi:type="dcterms:W3CDTF">2026-08-09T09:56:26Z</dcterms:modified>
  <dc:language>en-US</dc:language>
</cp:coreProperties>
</file>